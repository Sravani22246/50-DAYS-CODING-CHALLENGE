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ARIBABU\Desktop\"/>
    </mc:Choice>
  </mc:AlternateContent>
  <bookViews>
    <workbookView xWindow="0" yWindow="0" windowWidth="20235" windowHeight="7590" activeTab="5"/>
  </bookViews>
  <sheets>
    <sheet name="Raw Data" sheetId="10" r:id="rId1"/>
    <sheet name="Data" sheetId="2" r:id="rId2"/>
    <sheet name="Modified data" sheetId="3" r:id="rId3"/>
    <sheet name="Category based" sheetId="4" r:id="rId4"/>
    <sheet name="Analyst Based" sheetId="5" r:id="rId5"/>
    <sheet name="Dashboard" sheetId="7" r:id="rId6"/>
  </sheets>
  <definedNames>
    <definedName name="ExternalData_1" localSheetId="1" hidden="1">Data!$A$1:$G$151</definedName>
    <definedName name="ExternalData_1" localSheetId="2" hidden="1">'Modified data'!$A$1:$G$151</definedName>
    <definedName name="ExternalData_1" localSheetId="0" hidden="1">'Raw Data'!$A$1:$G$152</definedName>
    <definedName name="Slicer_priority">#N/A</definedName>
  </definedNames>
  <calcPr calcId="162913"/>
  <pivotCaches>
    <pivotCache cacheId="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3" l="1"/>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J4" i="3" l="1"/>
</calcChain>
</file>

<file path=xl/connections.xml><?xml version="1.0" encoding="utf-8"?>
<connections xmlns="http://schemas.openxmlformats.org/spreadsheetml/2006/main">
  <connection id="1" keepAlive="1" name="Query - help_desk_tickets" description="Connection to the 'help_desk_tickets' query in the workbook." type="5" refreshedVersion="6" background="1" saveData="1">
    <dbPr connection="Provider=Microsoft.Mashup.OleDb.1;Data Source=$Workbook$;Location=help_desk_tickets;Extended Properties=&quot;&quot;" command="SELECT * FROM [help_desk_tickets]"/>
  </connection>
  <connection id="2" keepAlive="1" name="Query - help_desk_tickets (2)" description="Connection to the 'help_desk_tickets (2)' query in the workbook." type="5" refreshedVersion="6" background="1" saveData="1">
    <dbPr connection="Provider=Microsoft.Mashup.OleDb.1;Data Source=$Workbook$;Location=&quot;help_desk_tickets (2)&quot;;Extended Properties=&quot;&quot;" command="SELECT * FROM [help_desk_tickets (2)]"/>
  </connection>
  <connection id="3" keepAlive="1" name="Query - help_desk_tickets (3)" description="Connection to the 'help_desk_tickets (3)' query in the workbook." type="5" refreshedVersion="6" background="1" saveData="1">
    <dbPr connection="Provider=Microsoft.Mashup.OleDb.1;Data Source=$Workbook$;Location=help_desk_tickets (3);Extended Properties=&quot;&quot;" command="SELECT * FROM [help_desk_tickets (3)]"/>
  </connection>
</connections>
</file>

<file path=xl/sharedStrings.xml><?xml version="1.0" encoding="utf-8"?>
<sst xmlns="http://schemas.openxmlformats.org/spreadsheetml/2006/main" count="3273" uniqueCount="690">
  <si>
    <t>Column1</t>
  </si>
  <si>
    <t>Column2</t>
  </si>
  <si>
    <t>Column3</t>
  </si>
  <si>
    <t>Column4</t>
  </si>
  <si>
    <t>Column5</t>
  </si>
  <si>
    <t>Column6</t>
  </si>
  <si>
    <t>ticket_id</t>
  </si>
  <si>
    <t>submission_date</t>
  </si>
  <si>
    <t>resolution_date</t>
  </si>
  <si>
    <t>category</t>
  </si>
  <si>
    <t>assigned_analyst</t>
  </si>
  <si>
    <t>description.1</t>
  </si>
  <si>
    <t>priority</t>
  </si>
  <si>
    <t>TICKET-1000</t>
  </si>
  <si>
    <t>36:16.0</t>
  </si>
  <si>
    <t>46:40.6</t>
  </si>
  <si>
    <t>Other</t>
  </si>
  <si>
    <t>Toni Wiley</t>
  </si>
  <si>
    <t>Dream part subject until full</t>
  </si>
  <si>
    <t>High</t>
  </si>
  <si>
    <t>TICKET-1001</t>
  </si>
  <si>
    <t>27:59.0</t>
  </si>
  <si>
    <t>18:05.7</t>
  </si>
  <si>
    <t>Software</t>
  </si>
  <si>
    <t>Tanya Jones</t>
  </si>
  <si>
    <t>Application X is crashing every time I open it</t>
  </si>
  <si>
    <t>Medium</t>
  </si>
  <si>
    <t>TICKET-1002</t>
  </si>
  <si>
    <t>32:02.5</t>
  </si>
  <si>
    <t>50:36.5</t>
  </si>
  <si>
    <t>Sheila Ball</t>
  </si>
  <si>
    <t>Black attack cold would page</t>
  </si>
  <si>
    <t>TICKET-1003</t>
  </si>
  <si>
    <t>47:34.0</t>
  </si>
  <si>
    <t>38:19.3</t>
  </si>
  <si>
    <t>Hardware</t>
  </si>
  <si>
    <t>Cynthia Rich</t>
  </si>
  <si>
    <t>My laptop's keyboard isn't working properly, some keys are stuck</t>
  </si>
  <si>
    <t>TICKET-1004</t>
  </si>
  <si>
    <t>46:08.6</t>
  </si>
  <si>
    <t>53:07.2</t>
  </si>
  <si>
    <t>Janice Burns</t>
  </si>
  <si>
    <t>TICKET-1005</t>
  </si>
  <si>
    <t>32:40.3</t>
  </si>
  <si>
    <t>52:41.6</t>
  </si>
  <si>
    <t>Low</t>
  </si>
  <si>
    <t>TICKET-1006</t>
  </si>
  <si>
    <t>38:15.7</t>
  </si>
  <si>
    <t>11:49.5</t>
  </si>
  <si>
    <t>Access</t>
  </si>
  <si>
    <t>Autumn Ryan</t>
  </si>
  <si>
    <t>I'm locked out of my account and can't reset my password</t>
  </si>
  <si>
    <t>TICKET-1007</t>
  </si>
  <si>
    <t>43:28.0</t>
  </si>
  <si>
    <t>26:19.5</t>
  </si>
  <si>
    <t>Amanda White</t>
  </si>
  <si>
    <t>TICKET-1008</t>
  </si>
  <si>
    <t>41:13.6</t>
  </si>
  <si>
    <t>04:28.1</t>
  </si>
  <si>
    <t>TICKET-1009</t>
  </si>
  <si>
    <t>49:32.8</t>
  </si>
  <si>
    <t>58:37.1</t>
  </si>
  <si>
    <t>TICKET-1010</t>
  </si>
  <si>
    <t>20:01.8</t>
  </si>
  <si>
    <t>28:31.4</t>
  </si>
  <si>
    <t>Adam Stone</t>
  </si>
  <si>
    <t>TICKET-1011</t>
  </si>
  <si>
    <t>56:18.7</t>
  </si>
  <si>
    <t>46:32.7</t>
  </si>
  <si>
    <t>Network</t>
  </si>
  <si>
    <t>Natasha Harris</t>
  </si>
  <si>
    <t>TICKET-1012</t>
  </si>
  <si>
    <t>51:47.1</t>
  </si>
  <si>
    <t>58:41.2</t>
  </si>
  <si>
    <t>TICKET-1013</t>
  </si>
  <si>
    <t>08:53.6</t>
  </si>
  <si>
    <t>54:43.8</t>
  </si>
  <si>
    <t>TICKET-1014</t>
  </si>
  <si>
    <t>32:58.1</t>
  </si>
  <si>
    <t>11:31.8</t>
  </si>
  <si>
    <t>TICKET-1015</t>
  </si>
  <si>
    <t>34:10.8</t>
  </si>
  <si>
    <t>20:01.5</t>
  </si>
  <si>
    <t>Marvin West</t>
  </si>
  <si>
    <t>TICKET-1016</t>
  </si>
  <si>
    <t>52:05.2</t>
  </si>
  <si>
    <t>18:52.9</t>
  </si>
  <si>
    <t>TICKET-1017</t>
  </si>
  <si>
    <t>42:13.7</t>
  </si>
  <si>
    <t>37:18.5</t>
  </si>
  <si>
    <t>Security</t>
  </si>
  <si>
    <t>Thought national word picture each deep</t>
  </si>
  <si>
    <t>TICKET-1018</t>
  </si>
  <si>
    <t>03:04.4</t>
  </si>
  <si>
    <t>48:25.1</t>
  </si>
  <si>
    <t>TICKET-1019</t>
  </si>
  <si>
    <t>27:15.1</t>
  </si>
  <si>
    <t>58:38.6</t>
  </si>
  <si>
    <t>TICKET-1020</t>
  </si>
  <si>
    <t>49:37.6</t>
  </si>
  <si>
    <t>06:40.2</t>
  </si>
  <si>
    <t>TICKET-1021</t>
  </si>
  <si>
    <t>34:56.8</t>
  </si>
  <si>
    <t>25:12.4</t>
  </si>
  <si>
    <t>TICKET-1022</t>
  </si>
  <si>
    <t>29:45.6</t>
  </si>
  <si>
    <t>34:14.3</t>
  </si>
  <si>
    <t>TICKET-1023</t>
  </si>
  <si>
    <t>27:52.7</t>
  </si>
  <si>
    <t>23:44.7</t>
  </si>
  <si>
    <t>TICKET-1024</t>
  </si>
  <si>
    <t>37:37.2</t>
  </si>
  <si>
    <t>42:35.1</t>
  </si>
  <si>
    <t>TICKET-1025</t>
  </si>
  <si>
    <t>42:49.8</t>
  </si>
  <si>
    <t>35:58.9</t>
  </si>
  <si>
    <t>TICKET-1026</t>
  </si>
  <si>
    <t>26:51.3</t>
  </si>
  <si>
    <t>14:52.0</t>
  </si>
  <si>
    <t>TICKET-1027</t>
  </si>
  <si>
    <t>29:05.4</t>
  </si>
  <si>
    <t>15:13.9</t>
  </si>
  <si>
    <t>Billing</t>
  </si>
  <si>
    <t>Yourself floor foot character choose</t>
  </si>
  <si>
    <t>TICKET-1028</t>
  </si>
  <si>
    <t>02:57.2</t>
  </si>
  <si>
    <t>57:17.8</t>
  </si>
  <si>
    <t>Successful radio play network yet</t>
  </si>
  <si>
    <t>TICKET-1029</t>
  </si>
  <si>
    <t>57:13.1</t>
  </si>
  <si>
    <t>38:56.9</t>
  </si>
  <si>
    <t>TICKET-1030</t>
  </si>
  <si>
    <t>17:04.5</t>
  </si>
  <si>
    <t>38:11.1</t>
  </si>
  <si>
    <t>TICKET-1031</t>
  </si>
  <si>
    <t>58:57.6</t>
  </si>
  <si>
    <t>35:19.1</t>
  </si>
  <si>
    <t>TICKET-1032</t>
  </si>
  <si>
    <t>10:38.7</t>
  </si>
  <si>
    <t>40:37.8</t>
  </si>
  <si>
    <t>TICKET-1033</t>
  </si>
  <si>
    <t>33:02.6</t>
  </si>
  <si>
    <t>28:47.1</t>
  </si>
  <si>
    <t>Follow chair add finally these plan staff</t>
  </si>
  <si>
    <t>TICKET-1034</t>
  </si>
  <si>
    <t>06:08.3</t>
  </si>
  <si>
    <t>43:20.9</t>
  </si>
  <si>
    <t>TICKET-1035</t>
  </si>
  <si>
    <t>48:02.8</t>
  </si>
  <si>
    <t>36:47.0</t>
  </si>
  <si>
    <t>TICKET-1036</t>
  </si>
  <si>
    <t>46:26.0</t>
  </si>
  <si>
    <t>18:49.2</t>
  </si>
  <si>
    <t>TICKET-1037</t>
  </si>
  <si>
    <t>56:35.9</t>
  </si>
  <si>
    <t>07:19.1</t>
  </si>
  <si>
    <t>Rate play media air</t>
  </si>
  <si>
    <t>TICKET-1038</t>
  </si>
  <si>
    <t>20:12.1</t>
  </si>
  <si>
    <t>43:04.2</t>
  </si>
  <si>
    <t>TICKET-1039</t>
  </si>
  <si>
    <t>30:07.1</t>
  </si>
  <si>
    <t>44:18.5</t>
  </si>
  <si>
    <t>TICKET-1040</t>
  </si>
  <si>
    <t>49:38.7</t>
  </si>
  <si>
    <t>59:27.2</t>
  </si>
  <si>
    <t>TICKET-1041</t>
  </si>
  <si>
    <t>26:29.8</t>
  </si>
  <si>
    <t>22:39.0</t>
  </si>
  <si>
    <t>TICKET-1042</t>
  </si>
  <si>
    <t>42:23.9</t>
  </si>
  <si>
    <t>00:26.8</t>
  </si>
  <si>
    <t>Physical business information</t>
  </si>
  <si>
    <t>TICKET-1043</t>
  </si>
  <si>
    <t>37:32.6</t>
  </si>
  <si>
    <t>09:44.3</t>
  </si>
  <si>
    <t>Critical</t>
  </si>
  <si>
    <t>TICKET-1044</t>
  </si>
  <si>
    <t>02:33.0</t>
  </si>
  <si>
    <t>10:24.2</t>
  </si>
  <si>
    <t>TICKET-1045</t>
  </si>
  <si>
    <t>41:53.8</t>
  </si>
  <si>
    <t>04:57.0</t>
  </si>
  <si>
    <t>TICKET-1046</t>
  </si>
  <si>
    <t>43:05.7</t>
  </si>
  <si>
    <t>41:58.8</t>
  </si>
  <si>
    <t>TICKET-1047</t>
  </si>
  <si>
    <t>23:40.6</t>
  </si>
  <si>
    <t>57:19.4</t>
  </si>
  <si>
    <t>TICKET-1048</t>
  </si>
  <si>
    <t>12:43.2</t>
  </si>
  <si>
    <t>39:54.5</t>
  </si>
  <si>
    <t>TICKET-1049</t>
  </si>
  <si>
    <t>51:19.2</t>
  </si>
  <si>
    <t>32:45.8</t>
  </si>
  <si>
    <t>TICKET-1050</t>
  </si>
  <si>
    <t>22:42.1</t>
  </si>
  <si>
    <t>09:54.0</t>
  </si>
  <si>
    <t>If forget newspaper behavior note put</t>
  </si>
  <si>
    <t>TICKET-1051</t>
  </si>
  <si>
    <t>51:43.5</t>
  </si>
  <si>
    <t>25:05.8</t>
  </si>
  <si>
    <t>TICKET-1052</t>
  </si>
  <si>
    <t>21:49.7</t>
  </si>
  <si>
    <t>27:45.9</t>
  </si>
  <si>
    <t>TICKET-1053</t>
  </si>
  <si>
    <t>41:48.5</t>
  </si>
  <si>
    <t>53:38.8</t>
  </si>
  <si>
    <t>TICKET-1054</t>
  </si>
  <si>
    <t>00:06.2</t>
  </si>
  <si>
    <t>03:09.6</t>
  </si>
  <si>
    <t>TICKET-1055</t>
  </si>
  <si>
    <t>06:48.3</t>
  </si>
  <si>
    <t>47:48.2</t>
  </si>
  <si>
    <t>TICKET-1056</t>
  </si>
  <si>
    <t>52:12.7</t>
  </si>
  <si>
    <t>28:33.5</t>
  </si>
  <si>
    <t>Through culture similar finally</t>
  </si>
  <si>
    <t>TICKET-1057</t>
  </si>
  <si>
    <t>29:34.6</t>
  </si>
  <si>
    <t>48:57.6</t>
  </si>
  <si>
    <t>Weight go sort sign law response since</t>
  </si>
  <si>
    <t>TICKET-1058</t>
  </si>
  <si>
    <t>42:50.7</t>
  </si>
  <si>
    <t>16:37.0</t>
  </si>
  <si>
    <t>Particular ask company nearly exist exactly friend</t>
  </si>
  <si>
    <t>TICKET-1059</t>
  </si>
  <si>
    <t>37:43.4</t>
  </si>
  <si>
    <t>17:59.0</t>
  </si>
  <si>
    <t>TICKET-1060</t>
  </si>
  <si>
    <t>05:38.0</t>
  </si>
  <si>
    <t>49:50.2</t>
  </si>
  <si>
    <t>TICKET-1061</t>
  </si>
  <si>
    <t>19:38.3</t>
  </si>
  <si>
    <t>03:29.2</t>
  </si>
  <si>
    <t>TICKET-1062</t>
  </si>
  <si>
    <t>39:40.2</t>
  </si>
  <si>
    <t>21:42.6</t>
  </si>
  <si>
    <t>TICKET-1063</t>
  </si>
  <si>
    <t>57:08.9</t>
  </si>
  <si>
    <t>55:36.6</t>
  </si>
  <si>
    <t>TICKET-1064</t>
  </si>
  <si>
    <t>58:12.3</t>
  </si>
  <si>
    <t>01:55.5</t>
  </si>
  <si>
    <t>TICKET-1065</t>
  </si>
  <si>
    <t>11:15.5</t>
  </si>
  <si>
    <t>55:36.2</t>
  </si>
  <si>
    <t>TICKET-1066</t>
  </si>
  <si>
    <t>21:57.6</t>
  </si>
  <si>
    <t>05:28.3</t>
  </si>
  <si>
    <t>TICKET-1067</t>
  </si>
  <si>
    <t>18:18.9</t>
  </si>
  <si>
    <t>03:00.3</t>
  </si>
  <si>
    <t>TICKET-1068</t>
  </si>
  <si>
    <t>46:49.5</t>
  </si>
  <si>
    <t>16:59.4</t>
  </si>
  <si>
    <t>TICKET-1069</t>
  </si>
  <si>
    <t>30:29.1</t>
  </si>
  <si>
    <t>37:01.3</t>
  </si>
  <si>
    <t>TICKET-1070</t>
  </si>
  <si>
    <t>58:20.7</t>
  </si>
  <si>
    <t>11:23.6</t>
  </si>
  <si>
    <t>TICKET-1071</t>
  </si>
  <si>
    <t>55:26.6</t>
  </si>
  <si>
    <t>58:25.7</t>
  </si>
  <si>
    <t>TICKET-1072</t>
  </si>
  <si>
    <t>42:24.2</t>
  </si>
  <si>
    <t>32:31.3</t>
  </si>
  <si>
    <t>TICKET-1073</t>
  </si>
  <si>
    <t>34:13.4</t>
  </si>
  <si>
    <t>40:48.7</t>
  </si>
  <si>
    <t>Media respond them indicate</t>
  </si>
  <si>
    <t>TICKET-1074</t>
  </si>
  <si>
    <t>17:56.4</t>
  </si>
  <si>
    <t>19:46.3</t>
  </si>
  <si>
    <t>Lay support mouth control understand could</t>
  </si>
  <si>
    <t>TICKET-1075</t>
  </si>
  <si>
    <t>48:14.3</t>
  </si>
  <si>
    <t>40:58.0</t>
  </si>
  <si>
    <t>Company month civil season include</t>
  </si>
  <si>
    <t>TICKET-1076</t>
  </si>
  <si>
    <t>31:23.4</t>
  </si>
  <si>
    <t>11:12.3</t>
  </si>
  <si>
    <t>TICKET-1077</t>
  </si>
  <si>
    <t>42:37.8</t>
  </si>
  <si>
    <t>40:18.0</t>
  </si>
  <si>
    <t>Writer city suffer within important recently difference</t>
  </si>
  <si>
    <t>TICKET-1078</t>
  </si>
  <si>
    <t>59:03.6</t>
  </si>
  <si>
    <t>29:42.6</t>
  </si>
  <si>
    <t>TICKET-1079</t>
  </si>
  <si>
    <t>58:34.5</t>
  </si>
  <si>
    <t>08:24.7</t>
  </si>
  <si>
    <t>TICKET-1080</t>
  </si>
  <si>
    <t>43:34.7</t>
  </si>
  <si>
    <t>32:38.3</t>
  </si>
  <si>
    <t>TICKET-1081</t>
  </si>
  <si>
    <t>50:44.9</t>
  </si>
  <si>
    <t>00:37.6</t>
  </si>
  <si>
    <t>TICKET-1082</t>
  </si>
  <si>
    <t>17:27.2</t>
  </si>
  <si>
    <t>21:17.7</t>
  </si>
  <si>
    <t>TICKET-1083</t>
  </si>
  <si>
    <t>49:11.9</t>
  </si>
  <si>
    <t>26:15.4</t>
  </si>
  <si>
    <t>Public husband return country service very</t>
  </si>
  <si>
    <t>TICKET-1084</t>
  </si>
  <si>
    <t>09:04.0</t>
  </si>
  <si>
    <t>20:43.2</t>
  </si>
  <si>
    <t>TICKET-1085</t>
  </si>
  <si>
    <t>23:33.7</t>
  </si>
  <si>
    <t>08:10.3</t>
  </si>
  <si>
    <t>TICKET-1086</t>
  </si>
  <si>
    <t>18:39.5</t>
  </si>
  <si>
    <t>37:10.8</t>
  </si>
  <si>
    <t>TICKET-1087</t>
  </si>
  <si>
    <t>11:22.7</t>
  </si>
  <si>
    <t>12:02.0</t>
  </si>
  <si>
    <t>TICKET-1088</t>
  </si>
  <si>
    <t>58:40.4</t>
  </si>
  <si>
    <t>31:58.9</t>
  </si>
  <si>
    <t>TICKET-1089</t>
  </si>
  <si>
    <t>20:46.4</t>
  </si>
  <si>
    <t>21:32.3</t>
  </si>
  <si>
    <t>TICKET-1090</t>
  </si>
  <si>
    <t>04:37.0</t>
  </si>
  <si>
    <t>22:20.1</t>
  </si>
  <si>
    <t>TICKET-1091</t>
  </si>
  <si>
    <t>36:43.3</t>
  </si>
  <si>
    <t>09:00.6</t>
  </si>
  <si>
    <t>TICKET-1092</t>
  </si>
  <si>
    <t>26:09.7</t>
  </si>
  <si>
    <t>49:37.3</t>
  </si>
  <si>
    <t>TICKET-1093</t>
  </si>
  <si>
    <t>27:43.2</t>
  </si>
  <si>
    <t>08:51.7</t>
  </si>
  <si>
    <t>Including development attack wide</t>
  </si>
  <si>
    <t>TICKET-1094</t>
  </si>
  <si>
    <t>06:41.2</t>
  </si>
  <si>
    <t>43:14.5</t>
  </si>
  <si>
    <t>TICKET-1095</t>
  </si>
  <si>
    <t>47:28.5</t>
  </si>
  <si>
    <t>49:20.2</t>
  </si>
  <si>
    <t>Compare or at environmental</t>
  </si>
  <si>
    <t>TICKET-1096</t>
  </si>
  <si>
    <t>49:44.8</t>
  </si>
  <si>
    <t>34:19.6</t>
  </si>
  <si>
    <t>TICKET-1097</t>
  </si>
  <si>
    <t>16:19.3</t>
  </si>
  <si>
    <t>28:58.6</t>
  </si>
  <si>
    <t>TICKET-1098</t>
  </si>
  <si>
    <t>22:48.2</t>
  </si>
  <si>
    <t>26:30.2</t>
  </si>
  <si>
    <t>TICKET-1099</t>
  </si>
  <si>
    <t>15:23.4</t>
  </si>
  <si>
    <t>04:04.2</t>
  </si>
  <si>
    <t>TICKET-1100</t>
  </si>
  <si>
    <t>13:43.6</t>
  </si>
  <si>
    <t>17:50.3</t>
  </si>
  <si>
    <t>TICKET-1101</t>
  </si>
  <si>
    <t>55:10.6</t>
  </si>
  <si>
    <t>31:29.8</t>
  </si>
  <si>
    <t>TICKET-1102</t>
  </si>
  <si>
    <t>49:20.1</t>
  </si>
  <si>
    <t>Any today within none hot again green</t>
  </si>
  <si>
    <t>TICKET-1103</t>
  </si>
  <si>
    <t>36:02.8</t>
  </si>
  <si>
    <t>59:45.0</t>
  </si>
  <si>
    <t>TICKET-1104</t>
  </si>
  <si>
    <t>19:01.3</t>
  </si>
  <si>
    <t>36:27.3</t>
  </si>
  <si>
    <t>She certain boy build</t>
  </si>
  <si>
    <t>TICKET-1105</t>
  </si>
  <si>
    <t>45:06.2</t>
  </si>
  <si>
    <t>41:23.6</t>
  </si>
  <si>
    <t>TICKET-1106</t>
  </si>
  <si>
    <t>18:01.7</t>
  </si>
  <si>
    <t>29:37.5</t>
  </si>
  <si>
    <t>Growth middle establish public</t>
  </si>
  <si>
    <t>TICKET-1107</t>
  </si>
  <si>
    <t>54:11.9</t>
  </si>
  <si>
    <t>11:11.4</t>
  </si>
  <si>
    <t>TICKET-1108</t>
  </si>
  <si>
    <t>57:35.5</t>
  </si>
  <si>
    <t>56:19.2</t>
  </si>
  <si>
    <t>TICKET-1109</t>
  </si>
  <si>
    <t>24:12.7</t>
  </si>
  <si>
    <t>24:35.2</t>
  </si>
  <si>
    <t>TICKET-1110</t>
  </si>
  <si>
    <t>56:23.5</t>
  </si>
  <si>
    <t>35:51.3</t>
  </si>
  <si>
    <t>TICKET-1111</t>
  </si>
  <si>
    <t>29:54.6</t>
  </si>
  <si>
    <t>40:12.1</t>
  </si>
  <si>
    <t>TICKET-1112</t>
  </si>
  <si>
    <t>02:11.1</t>
  </si>
  <si>
    <t>40:55.6</t>
  </si>
  <si>
    <t>Plant attack should</t>
  </si>
  <si>
    <t>TICKET-1113</t>
  </si>
  <si>
    <t>19:48.1</t>
  </si>
  <si>
    <t>31:35.1</t>
  </si>
  <si>
    <t>TICKET-1114</t>
  </si>
  <si>
    <t>39:15.1</t>
  </si>
  <si>
    <t>07:28.1</t>
  </si>
  <si>
    <t>Something million activity</t>
  </si>
  <si>
    <t>TICKET-1115</t>
  </si>
  <si>
    <t>02:16.9</t>
  </si>
  <si>
    <t>50:48.0</t>
  </si>
  <si>
    <t>TICKET-1116</t>
  </si>
  <si>
    <t>29:18.1</t>
  </si>
  <si>
    <t>50:20.4</t>
  </si>
  <si>
    <t>TICKET-1117</t>
  </si>
  <si>
    <t>40:03.5</t>
  </si>
  <si>
    <t>18:46.1</t>
  </si>
  <si>
    <t>TICKET-1118</t>
  </si>
  <si>
    <t>42:22.7</t>
  </si>
  <si>
    <t>59:56.9</t>
  </si>
  <si>
    <t>Even focus animal civil quality lay skill</t>
  </si>
  <si>
    <t>TICKET-1119</t>
  </si>
  <si>
    <t>15:34.4</t>
  </si>
  <si>
    <t>05:16.8</t>
  </si>
  <si>
    <t>TICKET-1120</t>
  </si>
  <si>
    <t>02:21.5</t>
  </si>
  <si>
    <t>25:23.4</t>
  </si>
  <si>
    <t>Clear late win beat</t>
  </si>
  <si>
    <t>TICKET-1121</t>
  </si>
  <si>
    <t>08:29.8</t>
  </si>
  <si>
    <t>31:43.2</t>
  </si>
  <si>
    <t>TICKET-1122</t>
  </si>
  <si>
    <t>50:16.7</t>
  </si>
  <si>
    <t>24:47.5</t>
  </si>
  <si>
    <t>TICKET-1123</t>
  </si>
  <si>
    <t>11:31.0</t>
  </si>
  <si>
    <t>06:32.7</t>
  </si>
  <si>
    <t>TICKET-1124</t>
  </si>
  <si>
    <t>03:58.8</t>
  </si>
  <si>
    <t>Police machine star</t>
  </si>
  <si>
    <t>TICKET-1125</t>
  </si>
  <si>
    <t>27:57.5</t>
  </si>
  <si>
    <t>11:22.2</t>
  </si>
  <si>
    <t>Group resource dinner knowledge scientist Mr</t>
  </si>
  <si>
    <t>TICKET-1126</t>
  </si>
  <si>
    <t>22:42.7</t>
  </si>
  <si>
    <t>04:42.2</t>
  </si>
  <si>
    <t>TICKET-1127</t>
  </si>
  <si>
    <t>23:18.6</t>
  </si>
  <si>
    <t>23:31.6</t>
  </si>
  <si>
    <t>TICKET-1128</t>
  </si>
  <si>
    <t>02:08.1</t>
  </si>
  <si>
    <t>18:36.6</t>
  </si>
  <si>
    <t>TICKET-1129</t>
  </si>
  <si>
    <t>30:19.2</t>
  </si>
  <si>
    <t>09:04.8</t>
  </si>
  <si>
    <t>Draw once season talk forward</t>
  </si>
  <si>
    <t>TICKET-1130</t>
  </si>
  <si>
    <t>54:16.2</t>
  </si>
  <si>
    <t>37:10.0</t>
  </si>
  <si>
    <t>Catch travel form bar pretty himself team</t>
  </si>
  <si>
    <t>TICKET-1131</t>
  </si>
  <si>
    <t>29:53.3</t>
  </si>
  <si>
    <t>20:29.5</t>
  </si>
  <si>
    <t>Act believe heavy watch best game part</t>
  </si>
  <si>
    <t>TICKET-1132</t>
  </si>
  <si>
    <t>38:17.2</t>
  </si>
  <si>
    <t>05:48.9</t>
  </si>
  <si>
    <t>Year name message voice data</t>
  </si>
  <si>
    <t>TICKET-1133</t>
  </si>
  <si>
    <t>07:13.8</t>
  </si>
  <si>
    <t>05:13.3</t>
  </si>
  <si>
    <t>TICKET-1134</t>
  </si>
  <si>
    <t>02:49.9</t>
  </si>
  <si>
    <t>38:37.8</t>
  </si>
  <si>
    <t>Memory process group arm attack indicate mother</t>
  </si>
  <si>
    <t>TICKET-1135</t>
  </si>
  <si>
    <t>57:13.6</t>
  </si>
  <si>
    <t>46:12.3</t>
  </si>
  <si>
    <t>Foreign sign be money cup raise keep</t>
  </si>
  <si>
    <t>TICKET-1136</t>
  </si>
  <si>
    <t>50:13.2</t>
  </si>
  <si>
    <t>47:18.7</t>
  </si>
  <si>
    <t>TICKET-1137</t>
  </si>
  <si>
    <t>14:35.4</t>
  </si>
  <si>
    <t>16:50.9</t>
  </si>
  <si>
    <t>TICKET-1138</t>
  </si>
  <si>
    <t>22:45.6</t>
  </si>
  <si>
    <t>41:10.4</t>
  </si>
  <si>
    <t>TICKET-1139</t>
  </si>
  <si>
    <t>38:53.3</t>
  </si>
  <si>
    <t>24:42.7</t>
  </si>
  <si>
    <t>TICKET-1140</t>
  </si>
  <si>
    <t>58:01.8</t>
  </si>
  <si>
    <t>50:40.8</t>
  </si>
  <si>
    <t>TICKET-1141</t>
  </si>
  <si>
    <t>22:03.1</t>
  </si>
  <si>
    <t>14:09.7</t>
  </si>
  <si>
    <t>TICKET-1142</t>
  </si>
  <si>
    <t>20:39.4</t>
  </si>
  <si>
    <t>34:39.4</t>
  </si>
  <si>
    <t>TICKET-1143</t>
  </si>
  <si>
    <t>49:30.7</t>
  </si>
  <si>
    <t>49:37.2</t>
  </si>
  <si>
    <t>TICKET-1144</t>
  </si>
  <si>
    <t>04:19.8</t>
  </si>
  <si>
    <t>18:05.8</t>
  </si>
  <si>
    <t>TICKET-1145</t>
  </si>
  <si>
    <t>49:38.6</t>
  </si>
  <si>
    <t>50:13.5</t>
  </si>
  <si>
    <t>Suddenly effort she without without</t>
  </si>
  <si>
    <t>TICKET-1146</t>
  </si>
  <si>
    <t>03:21.5</t>
  </si>
  <si>
    <t>54:19.2</t>
  </si>
  <si>
    <t>TICKET-1147</t>
  </si>
  <si>
    <t>56:42.4</t>
  </si>
  <si>
    <t>01:09.2</t>
  </si>
  <si>
    <t>Look scene real owner agent whose specific</t>
  </si>
  <si>
    <t>TICKET-1148</t>
  </si>
  <si>
    <t>22:14.1</t>
  </si>
  <si>
    <t>50:11.9</t>
  </si>
  <si>
    <t>You reflect radio</t>
  </si>
  <si>
    <t>TICKET-1149</t>
  </si>
  <si>
    <t>12:38.8</t>
  </si>
  <si>
    <t>13:25.4</t>
  </si>
  <si>
    <t>resolution time</t>
  </si>
  <si>
    <t>Can't connect to the Wi-Fi.It shows "no internet access"</t>
  </si>
  <si>
    <t>Not Available</t>
  </si>
  <si>
    <t>Row Labels</t>
  </si>
  <si>
    <t>Grand Total</t>
  </si>
  <si>
    <t>Average of resolution time</t>
  </si>
  <si>
    <t>Count of ticket_id</t>
  </si>
  <si>
    <t>Column Labels</t>
  </si>
  <si>
    <t>Count of priority</t>
  </si>
  <si>
    <t>KPI Values</t>
  </si>
  <si>
    <t>Average Resolution Time</t>
  </si>
  <si>
    <t>Total no of Analysts</t>
  </si>
  <si>
    <t>Total no tickets</t>
  </si>
  <si>
    <t>Highest ticket Category</t>
  </si>
  <si>
    <t xml:space="preserve">Highest Average time </t>
  </si>
  <si>
    <t>Low Priority (30%)</t>
  </si>
  <si>
    <t>Column7</t>
  </si>
  <si>
    <t>description</t>
  </si>
  <si>
    <t>Dream part subject until full. Brother century suddenly above. Six eight benefit animal move best.</t>
  </si>
  <si>
    <t>Application X is crashing every time I open it. Lead how phone also score player later blue.</t>
  </si>
  <si>
    <t>Black attack cold would page. Reality she war a chance. Physical hour Mr item red agreement for.</t>
  </si>
  <si>
    <t>My laptop's keyboard isn't working properly, some keys are stuck. Tree culture above effort more national whether.</t>
  </si>
  <si>
    <t>Application X is crashing every time I open it. Order wrong fight foreign bad house pick.</t>
  </si>
  <si>
    <t>Application X is crashing every time I open it. Sport should network realize relate very voice.</t>
  </si>
  <si>
    <t>I'm locked out of my account and can't reset my password. If rather year suffer wrong.</t>
  </si>
  <si>
    <t>Application X is crashing every time I open it. Here bill leg region training. Grow new may.</t>
  </si>
  <si>
    <t>My laptop's keyboard isn't working properly, some keys are stuck. Common maintain theory involve ok detail.</t>
  </si>
  <si>
    <t>Application X is crashing every time I open it. Responsibility again recently traditional word.</t>
  </si>
  <si>
    <t>Application X is crashing every time I open it. Structure this woman born.</t>
  </si>
  <si>
    <t>Can't connect to the Wi-Fi. It's showing 'No internet access'. Maintain without college strong few not week.</t>
  </si>
  <si>
    <t>Can't connect to the Wi-Fi. It's showing 'No internet access'. Official human task door century energy Mr.</t>
  </si>
  <si>
    <t>Application X is crashing every time I open it. Spring operation performance glass choice kind.</t>
  </si>
  <si>
    <t>Application X is crashing every time I open it. Summer yard maintain fire ask eight.</t>
  </si>
  <si>
    <t>Application X is crashing every time I open it. Least check between event. Can brother two form.</t>
  </si>
  <si>
    <t>Application X is crashing every time I open it. Resource in affect charge customer accept dream.</t>
  </si>
  <si>
    <t>Thought national word picture each deep.</t>
  </si>
  <si>
    <t>Can't connect to the Wi-Fi. It's showing 'No internet access'. Card series research else cup though artist.</t>
  </si>
  <si>
    <t>My laptop's keyboard isn't working properly, some keys are stuck. Young up grow after offer east region would.</t>
  </si>
  <si>
    <t>Application X is crashing every time I open it. Nice then management.</t>
  </si>
  <si>
    <t>Application X is crashing every time I open it. Water act involve follow hot.</t>
  </si>
  <si>
    <t>Application X is crashing every time I open it. Another such apply table let.</t>
  </si>
  <si>
    <t>Application X is crashing every time I open it. Senior per draw day mention sea quickly.</t>
  </si>
  <si>
    <t>Can't connect to the Wi-Fi. It's showing 'No internet access'. Race Republican expect east might collection.</t>
  </si>
  <si>
    <t>Application X is crashing every time I open it. Total maintain service writer.</t>
  </si>
  <si>
    <t>Can't connect to the Wi-Fi. It's showing 'No internet access'. Individual herself decide generation.</t>
  </si>
  <si>
    <t>Yourself floor foot character choose. Brother prepare but film key name.</t>
  </si>
  <si>
    <t>Successful radio play network yet. Fill director direction ready white.</t>
  </si>
  <si>
    <t>Application X is crashing every time I open it. Southern beat general first much hotel agency.</t>
  </si>
  <si>
    <t>Can't connect to the Wi-Fi. It's showing 'No internet access'. Cup government by life reduce each customer.</t>
  </si>
  <si>
    <t>Application X is crashing every time I open it. Market growth film.</t>
  </si>
  <si>
    <t>Can't connect to the Wi-Fi. It's showing 'No internet access'. Could north state feel others participant.</t>
  </si>
  <si>
    <t>Follow chair add finally these plan staff. Across shoulder school free.</t>
  </si>
  <si>
    <t>Application X is crashing every time I open it. Bag half join treat water by affect.</t>
  </si>
  <si>
    <t>My laptop's keyboard isn't working properly, some keys are stuck. Science bad news pressure anything probably save.</t>
  </si>
  <si>
    <t>Application X is crashing every time I open it. Fund project find law identify close worker.</t>
  </si>
  <si>
    <t>Rate play media air. Trade thank hundred choice reduce remember possible us.</t>
  </si>
  <si>
    <t>Application X is crashing every time I open it. Effort avoid door shoulder cut.</t>
  </si>
  <si>
    <t>I'm locked out of my account and can't reset my password. Point fine stop radio chair tree career scene.</t>
  </si>
  <si>
    <t>Can't connect to the Wi-Fi. It's showing 'No internet access'. Simple practice operation move put.</t>
  </si>
  <si>
    <t>My laptop's keyboard isn't working properly, some keys are stuck. Firm discuss audience say amount.</t>
  </si>
  <si>
    <t>Physical business information.
Activity else house another. Still protect admit answer.</t>
  </si>
  <si>
    <t>Application X is crashing every time I open it. Anything despite not.</t>
  </si>
  <si>
    <t>My laptop's keyboard isn't working properly, some keys are stuck. Film answer tax different carry represent.</t>
  </si>
  <si>
    <t>Application X is crashing every time I open it. American computer let go event.</t>
  </si>
  <si>
    <t>Can't connect to the Wi-Fi. It's showing 'No internet access'. Build oil wait community less happen.</t>
  </si>
  <si>
    <t>I'm locked out of my account and can't reset my password. Decide stuff agree national politics current son.</t>
  </si>
  <si>
    <t>Can't connect to the Wi-Fi. It's showing 'No internet access'. Phone interview worker could.</t>
  </si>
  <si>
    <t>Can't connect to the Wi-Fi. It's showing 'No internet access'. Together life least mission.</t>
  </si>
  <si>
    <t>If forget newspaper behavior note put. Almost affect entire. Trial set capital real.</t>
  </si>
  <si>
    <t>Application X is crashing every time I open it. My sound short.</t>
  </si>
  <si>
    <t>Application X is crashing every time I open it. Where culture site value set.</t>
  </si>
  <si>
    <t>Application X is crashing every time I open it. Go claim billion small experience old.</t>
  </si>
  <si>
    <t>Can't connect to the Wi-Fi. It's showing 'No internet access'. Option name including.</t>
  </si>
  <si>
    <t>I'm locked out of my account and can't reset my password. Idea enter expert decision something.</t>
  </si>
  <si>
    <t>Through culture similar finally. Oil world money about fine street small.</t>
  </si>
  <si>
    <t>Weight go sort sign law response since. Sister other actually Mrs fight everything get.</t>
  </si>
  <si>
    <t>Particular ask company nearly exist exactly friend.</t>
  </si>
  <si>
    <t>Application X is crashing every time I open it. Skin subject purpose baby training.</t>
  </si>
  <si>
    <t>My laptop's keyboard isn't working properly, some keys are stuck. Than none office improve.</t>
  </si>
  <si>
    <t>Application X is crashing every time I open it. With because article scene father black.</t>
  </si>
  <si>
    <t>Application X is crashing every time I open it. Food pass energy fund need read anything.</t>
  </si>
  <si>
    <t>I'm locked out of my account and can't reset my password. Agreement news significant cultural agree.</t>
  </si>
  <si>
    <t>I'm locked out of my account and can't reset my password. Especially under always tend teacher build.</t>
  </si>
  <si>
    <t>Can't connect to the Wi-Fi. It's showing 'No internet access'. Child as debate economy.</t>
  </si>
  <si>
    <t>My laptop's keyboard isn't working properly, some keys are stuck. Someone poor mission fill free.</t>
  </si>
  <si>
    <t>Can't connect to the Wi-Fi. It's showing 'No internet access'. Represent safe scene wall dog.</t>
  </si>
  <si>
    <t>Application X is crashing every time I open it. Claim success those baby.</t>
  </si>
  <si>
    <t>Application X is crashing every time I open it. Term lot their. Dark itself deal race Democrat.</t>
  </si>
  <si>
    <t>My laptop's keyboard isn't working properly, some keys are stuck. Bad past glass strategy. Above skin station.</t>
  </si>
  <si>
    <t>Application X is crashing every time I open it. Tv control generation away public remain.</t>
  </si>
  <si>
    <t>Can't connect to the Wi-Fi. It's showing 'No internet access'. Alone skill foot benefit.</t>
  </si>
  <si>
    <t>Media respond them indicate. Up movie television stop. Garden ten city already close.</t>
  </si>
  <si>
    <t>Lay support mouth control understand could. Husband for evening upon involve.</t>
  </si>
  <si>
    <t>Company month civil season include. Onto life for both little.</t>
  </si>
  <si>
    <t>Application X is crashing every time I open it. Candidate push mind exactly feel.</t>
  </si>
  <si>
    <t>Writer city suffer within important recently difference. Wait only relationship free.</t>
  </si>
  <si>
    <t>Application X is crashing every time I open it. Form customer bill interest remember which.</t>
  </si>
  <si>
    <t>Can't connect to the Wi-Fi. It's showing 'No internet access'. Agree begin guess ask choice low themselves born.</t>
  </si>
  <si>
    <t>Application X is crashing every time I open it. Center worry nor whole.</t>
  </si>
  <si>
    <t>I'm locked out of my account and can't reset my password. Miss son responsibility hour.</t>
  </si>
  <si>
    <t>Application X is crashing every time I open it. Develop course foreign no either.</t>
  </si>
  <si>
    <t>Public husband return country service very. Be exactly time firm yard price bad.</t>
  </si>
  <si>
    <t>My laptop's keyboard isn't working properly, some keys are stuck. Perform author more owner girl message.</t>
  </si>
  <si>
    <t>I'm locked out of my account and can't reset my password. Church stop environment.</t>
  </si>
  <si>
    <t>Application X is crashing every time I open it. Everyone body modern feeling shake loss.</t>
  </si>
  <si>
    <t>My laptop's keyboard isn't working properly, some keys are stuck. Whole material thus despite firm more.</t>
  </si>
  <si>
    <t>Application X is crashing every time I open it. Until statement century seat vote never.</t>
  </si>
  <si>
    <t>Application X is crashing every time I open it. Big season the.</t>
  </si>
  <si>
    <t>Application X is crashing every time I open it. Usually career attention realize.</t>
  </si>
  <si>
    <t>Application X is crashing every time I open it. Firm tonight statement feel Mrs music.</t>
  </si>
  <si>
    <t>Can't connect to the Wi-Fi. It's showing 'No internet access'. Life change act. Through imagine again whole.</t>
  </si>
  <si>
    <t>Including development attack wide. Concern his environment attack program rest team.</t>
  </si>
  <si>
    <t>I'm locked out of my account and can't reset my password. Another collection another many.</t>
  </si>
  <si>
    <t>Compare or at environmental. Six what them fall. Husband certain institution phone resource blood.</t>
  </si>
  <si>
    <t>I'm locked out of my account and can't reset my password. Medical let door front. Law end always.</t>
  </si>
  <si>
    <t>My laptop's keyboard isn't working properly, some keys are stuck. Rich fire power city. Water career next relate.</t>
  </si>
  <si>
    <t>Application X is crashing every time I open it. Result happy song want finish stuff.</t>
  </si>
  <si>
    <t>My laptop's keyboard isn't working properly, some keys are stuck. Themselves big matter happy small.</t>
  </si>
  <si>
    <t>Application X is crashing every time I open it. Agent will respond help.</t>
  </si>
  <si>
    <t>Application X is crashing every time I open it. Short commercial everybody difficult change.</t>
  </si>
  <si>
    <t>Any today within none hot again green. Remember attack event view father.</t>
  </si>
  <si>
    <t>Application X is crashing every time I open it. Represent senior his finish include nothing.</t>
  </si>
  <si>
    <t>She certain boy build. Test bag country president environment.</t>
  </si>
  <si>
    <t>Can't connect to the Wi-Fi. It's showing 'No internet access'. Hair job save son.</t>
  </si>
  <si>
    <t>Growth middle establish public.</t>
  </si>
  <si>
    <t>My laptop's keyboard isn't working properly, some keys are stuck. Produce require line letter listen often.</t>
  </si>
  <si>
    <t>My laptop's keyboard isn't working properly, some keys are stuck. At bag continue.</t>
  </si>
  <si>
    <t>Application X is crashing every time I open it. Without pass book tend.</t>
  </si>
  <si>
    <t>I'm locked out of my account and can't reset my password. Right where add.</t>
  </si>
  <si>
    <t>Application X is crashing every time I open it. Argue team senior low training.</t>
  </si>
  <si>
    <t>Plant attack should. Drive international today. Pretty statement her upon nation.</t>
  </si>
  <si>
    <t>My laptop's keyboard isn't working properly, some keys are stuck. Chance place build body population.</t>
  </si>
  <si>
    <t>Something million activity. Interview under cover career under. Can address show public.</t>
  </si>
  <si>
    <t>I'm locked out of my account and can't reset my password. Receive nature option oil read trouble.</t>
  </si>
  <si>
    <t>Application X is crashing every time I open it. Toward ago director condition food share meet.</t>
  </si>
  <si>
    <t>I'm locked out of my account and can't reset my password. For we when drive. Start identify now throw.</t>
  </si>
  <si>
    <t>Even focus animal civil quality lay skill. Need maybe former return.</t>
  </si>
  <si>
    <t>My laptop's keyboard isn't working properly, some keys are stuck. Cup money work certainly color.</t>
  </si>
  <si>
    <t>Clear late win beat. Those arm say year him science door.</t>
  </si>
  <si>
    <t>I'm locked out of my account and can't reset my password. Purpose almost nature create authority company.</t>
  </si>
  <si>
    <t>Application X is crashing every time I open it. Garden better chance impact where how member.</t>
  </si>
  <si>
    <t>Can't connect to the Wi-Fi. It's showing 'No internet access'. Bag without else red. Able year decision others.</t>
  </si>
  <si>
    <t>Police machine star. Computer lead control across blue eye force. Parent set professor sit couple.</t>
  </si>
  <si>
    <t>Group resource dinner knowledge scientist Mr. Police simply enter training too.</t>
  </si>
  <si>
    <t>My laptop's keyboard isn't working properly, some keys are stuck. Go wear understand relate.</t>
  </si>
  <si>
    <t>Application X is crashing every time I open it. Gas mother rate wind fight success medical.</t>
  </si>
  <si>
    <t>Can't connect to the Wi-Fi. It's showing 'No internet access'. These entire million eat play sit.</t>
  </si>
  <si>
    <t>Draw once season talk forward. Decision partner north realize finish one question.</t>
  </si>
  <si>
    <t>Catch travel form bar pretty himself team. Light suffer evidence land ok may guy.</t>
  </si>
  <si>
    <t>Act believe heavy watch best game part. Too language mean. Cut age personal resource.</t>
  </si>
  <si>
    <t>Year name message voice data. Protect word up today. Break drop already life.</t>
  </si>
  <si>
    <t>I'm locked out of my account and can't reset my password. Maintain tree story research hair why.</t>
  </si>
  <si>
    <t>Memory process group arm attack indicate mother. View three prepare by.</t>
  </si>
  <si>
    <t>Foreign sign be money cup raise keep. Right scene market.</t>
  </si>
  <si>
    <t>My laptop's keyboard isn't working properly, some keys are stuck. Certain six among before.</t>
  </si>
  <si>
    <t>My laptop's keyboard isn't working properly, some keys are stuck. Ago his against point garden drug.</t>
  </si>
  <si>
    <t>Application X is crashing every time I open it. Any state food citizen.</t>
  </si>
  <si>
    <t>Can't connect to the Wi-Fi. It's showing 'No internet access'. He particularly begin save area finally word.</t>
  </si>
  <si>
    <t>My laptop's keyboard isn't working properly, some keys are stuck. Serious simply mind cost movie actually.</t>
  </si>
  <si>
    <t>My laptop's keyboard isn't working properly, some keys are stuck. Social approach mother white.</t>
  </si>
  <si>
    <t>Can't connect to the Wi-Fi. It's showing 'No internet access'. Enter room up sound nature.</t>
  </si>
  <si>
    <t>My laptop's keyboard isn't working properly, some keys are stuck. Effort to since question.</t>
  </si>
  <si>
    <t>Application X is crashing every time I open it. These drive president building.</t>
  </si>
  <si>
    <t>Suddenly effort she without without.</t>
  </si>
  <si>
    <t>Can't connect to the Wi-Fi. It's showing 'No internet access'. Should that nation can difficult nice.</t>
  </si>
  <si>
    <t>Look scene real owner agent whose specific. Along they yourself character year or behind.</t>
  </si>
  <si>
    <t>You reflect radio. Especially speech wish interesting wife.</t>
  </si>
  <si>
    <t>My laptop's keyboard isn't working properly, some keys are stuck. Event pattern factor deep manager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</si>
</sst>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64" fontId="0" fillId="0" borderId="0" xfId="0" applyNumberFormat="1"/>
    <xf numFmtId="4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28" formatCode="mm:ss"/>
    </dxf>
    <dxf>
      <numFmt numFmtId="164" formatCode="[$-F400]h:mm:ss\ AM/PM"/>
    </dxf>
    <dxf>
      <numFmt numFmtId="164" formatCode="[$-F400]h:mm:ss\ AM/PM"/>
    </dxf>
    <dxf>
      <numFmt numFmtId="28" formatCode="mm:ss"/>
    </dxf>
    <dxf>
      <numFmt numFmtId="164" formatCode="[$-F400]h:mm:ss\ AM/PM"/>
    </dxf>
    <dxf>
      <numFmt numFmtId="164" formatCode="[$-F400]h:mm:ss\ AM/PM"/>
    </dxf>
  </dxfs>
  <tableStyles count="0" defaultTableStyle="TableStyleMedium2" defaultPivotStyle="PivotStyleLight16"/>
  <colors>
    <mruColors>
      <color rgb="FFFFFF66"/>
      <color rgb="FFFF99CC"/>
      <color rgb="FF99FFCC"/>
      <color rgb="FFFFFF00"/>
      <color rgb="FFFF6600"/>
      <color rgb="FFFF99FF"/>
      <color rgb="FF66FF33"/>
      <color rgb="FF66FFFF"/>
      <color rgb="FFCCFF33"/>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'Category based'!$B$1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'Category based'!$A$2:$A$9</c:f>
              <c:strCache>
                <c:ptCount val="7"/>
                <c:pt idx="0">
                  <c:v>Access</c:v>
                </c:pt>
                <c:pt idx="1">
                  <c:v>Billing</c:v>
                </c:pt>
                <c:pt idx="2">
                  <c:v>Hardware</c:v>
                </c:pt>
                <c:pt idx="3">
                  <c:v>Network</c:v>
                </c:pt>
                <c:pt idx="4">
                  <c:v>Other</c:v>
                </c:pt>
                <c:pt idx="5">
                  <c:v>Security</c:v>
                </c:pt>
                <c:pt idx="6">
                  <c:v>Software</c:v>
                </c:pt>
              </c:strCache>
            </c:strRef>
          </c:cat>
          <c:val>
            <c:numRef>
              <c:f>'Category based'!$B$2:$B$9</c:f>
              <c:numCache>
                <c:formatCode>mm:ss</c:formatCode>
                <c:ptCount val="7"/>
                <c:pt idx="0">
                  <c:v>1.8801697530864199E-2</c:v>
                </c:pt>
                <c:pt idx="1">
                  <c:v>1.2489390432098764E-2</c:v>
                </c:pt>
                <c:pt idx="2">
                  <c:v>1.0124421296296296E-2</c:v>
                </c:pt>
                <c:pt idx="3">
                  <c:v>1.3201992753623191E-2</c:v>
                </c:pt>
                <c:pt idx="4">
                  <c:v>1.6619084362139921E-2</c:v>
                </c:pt>
                <c:pt idx="5">
                  <c:v>1.3270502645502644E-2</c:v>
                </c:pt>
                <c:pt idx="6">
                  <c:v>1.2075390341321716E-2</c:v>
                </c:pt>
              </c:numCache>
            </c:numRef>
          </c:val>
          <c:smooth val="0"/>
          <c:extLst>
            <c:ext xmlns:c16="http://schemas.microsoft.com/office/drawing/2014/chart" uri="{C3380CC4-5D6E-409C-BE32-E72D297353CC}">
              <c16:uniqueId val="{00000000-2642-4C36-A55A-84B16600F3D3}"/>
            </c:ext>
          </c:extLst>
        </c:ser>
        <c:dLbls>
          <c:showLegendKey val="0"/>
          <c:showVal val="0"/>
          <c:showCatName val="0"/>
          <c:showSerName val="0"/>
          <c:showPercent val="0"/>
          <c:showBubbleSize val="0"/>
        </c:dLbls>
        <c:marker val="1"/>
        <c:smooth val="0"/>
        <c:axId val="647828352"/>
        <c:axId val="647822528"/>
      </c:lineChart>
      <c:catAx>
        <c:axId val="6478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2528"/>
        <c:crosses val="autoZero"/>
        <c:auto val="1"/>
        <c:lblAlgn val="ctr"/>
        <c:lblOffset val="100"/>
        <c:noMultiLvlLbl val="0"/>
      </c:catAx>
      <c:valAx>
        <c:axId val="647822528"/>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based!PivotTable6</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'Category based'!$B$16:$B$17</c:f>
              <c:strCache>
                <c:ptCount val="1"/>
                <c:pt idx="0">
                  <c:v>Critical</c:v>
                </c:pt>
              </c:strCache>
            </c:strRef>
          </c:tx>
          <c:spPr>
            <a:solidFill>
              <a:schemeClr val="accent1"/>
            </a:soli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based'!$B$18:$B$25</c:f>
              <c:numCache>
                <c:formatCode>General</c:formatCode>
                <c:ptCount val="7"/>
                <c:pt idx="1">
                  <c:v>1</c:v>
                </c:pt>
                <c:pt idx="2">
                  <c:v>1</c:v>
                </c:pt>
                <c:pt idx="6">
                  <c:v>2</c:v>
                </c:pt>
              </c:numCache>
            </c:numRef>
          </c:val>
          <c:extLst>
            <c:ext xmlns:c16="http://schemas.microsoft.com/office/drawing/2014/chart" uri="{C3380CC4-5D6E-409C-BE32-E72D297353CC}">
              <c16:uniqueId val="{00000000-2BA4-4B09-8406-FAEAA7DC3448}"/>
            </c:ext>
          </c:extLst>
        </c:ser>
        <c:ser>
          <c:idx val="1"/>
          <c:order val="1"/>
          <c:tx>
            <c:strRef>
              <c:f>'Category based'!$C$16:$C$17</c:f>
              <c:strCache>
                <c:ptCount val="1"/>
                <c:pt idx="0">
                  <c:v>High</c:v>
                </c:pt>
              </c:strCache>
            </c:strRef>
          </c:tx>
          <c:spPr>
            <a:solidFill>
              <a:schemeClr val="accent2"/>
            </a:soli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based'!$C$18:$C$25</c:f>
              <c:numCache>
                <c:formatCode>General</c:formatCode>
                <c:ptCount val="7"/>
                <c:pt idx="0">
                  <c:v>4</c:v>
                </c:pt>
                <c:pt idx="1">
                  <c:v>1</c:v>
                </c:pt>
                <c:pt idx="2">
                  <c:v>4</c:v>
                </c:pt>
                <c:pt idx="3">
                  <c:v>5</c:v>
                </c:pt>
                <c:pt idx="4">
                  <c:v>3</c:v>
                </c:pt>
                <c:pt idx="5">
                  <c:v>1</c:v>
                </c:pt>
                <c:pt idx="6">
                  <c:v>7</c:v>
                </c:pt>
              </c:numCache>
            </c:numRef>
          </c:val>
          <c:extLst>
            <c:ext xmlns:c16="http://schemas.microsoft.com/office/drawing/2014/chart" uri="{C3380CC4-5D6E-409C-BE32-E72D297353CC}">
              <c16:uniqueId val="{00000004-2BA4-4B09-8406-FAEAA7DC3448}"/>
            </c:ext>
          </c:extLst>
        </c:ser>
        <c:ser>
          <c:idx val="2"/>
          <c:order val="2"/>
          <c:tx>
            <c:strRef>
              <c:f>'Category based'!$D$16:$D$17</c:f>
              <c:strCache>
                <c:ptCount val="1"/>
                <c:pt idx="0">
                  <c:v>Low</c:v>
                </c:pt>
              </c:strCache>
            </c:strRef>
          </c:tx>
          <c:spPr>
            <a:solidFill>
              <a:schemeClr val="accent3"/>
            </a:soli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based'!$D$18:$D$25</c:f>
              <c:numCache>
                <c:formatCode>General</c:formatCode>
                <c:ptCount val="7"/>
                <c:pt idx="0">
                  <c:v>6</c:v>
                </c:pt>
                <c:pt idx="1">
                  <c:v>6</c:v>
                </c:pt>
                <c:pt idx="2">
                  <c:v>10</c:v>
                </c:pt>
                <c:pt idx="3">
                  <c:v>7</c:v>
                </c:pt>
                <c:pt idx="4">
                  <c:v>7</c:v>
                </c:pt>
                <c:pt idx="5">
                  <c:v>6</c:v>
                </c:pt>
                <c:pt idx="6">
                  <c:v>16</c:v>
                </c:pt>
              </c:numCache>
            </c:numRef>
          </c:val>
          <c:extLst>
            <c:ext xmlns:c16="http://schemas.microsoft.com/office/drawing/2014/chart" uri="{C3380CC4-5D6E-409C-BE32-E72D297353CC}">
              <c16:uniqueId val="{00000005-2BA4-4B09-8406-FAEAA7DC3448}"/>
            </c:ext>
          </c:extLst>
        </c:ser>
        <c:ser>
          <c:idx val="3"/>
          <c:order val="3"/>
          <c:tx>
            <c:strRef>
              <c:f>'Category based'!$E$16:$E$17</c:f>
              <c:strCache>
                <c:ptCount val="1"/>
                <c:pt idx="0">
                  <c:v>Medium</c:v>
                </c:pt>
              </c:strCache>
            </c:strRef>
          </c:tx>
          <c:spPr>
            <a:solidFill>
              <a:schemeClr val="accent4"/>
            </a:soli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based'!$E$18:$E$25</c:f>
              <c:numCache>
                <c:formatCode>General</c:formatCode>
                <c:ptCount val="7"/>
                <c:pt idx="0">
                  <c:v>5</c:v>
                </c:pt>
                <c:pt idx="1">
                  <c:v>4</c:v>
                </c:pt>
                <c:pt idx="2">
                  <c:v>9</c:v>
                </c:pt>
                <c:pt idx="3">
                  <c:v>11</c:v>
                </c:pt>
                <c:pt idx="4">
                  <c:v>8</c:v>
                </c:pt>
                <c:pt idx="6">
                  <c:v>26</c:v>
                </c:pt>
              </c:numCache>
            </c:numRef>
          </c:val>
          <c:extLst>
            <c:ext xmlns:c16="http://schemas.microsoft.com/office/drawing/2014/chart" uri="{C3380CC4-5D6E-409C-BE32-E72D297353CC}">
              <c16:uniqueId val="{00000006-2BA4-4B09-8406-FAEAA7DC3448}"/>
            </c:ext>
          </c:extLst>
        </c:ser>
        <c:dLbls>
          <c:showLegendKey val="0"/>
          <c:showVal val="0"/>
          <c:showCatName val="0"/>
          <c:showSerName val="0"/>
          <c:showPercent val="0"/>
          <c:showBubbleSize val="0"/>
        </c:dLbls>
        <c:gapWidth val="219"/>
        <c:overlap val="-27"/>
        <c:axId val="647819200"/>
        <c:axId val="647812128"/>
      </c:barChart>
      <c:catAx>
        <c:axId val="64781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12128"/>
        <c:crosses val="autoZero"/>
        <c:auto val="1"/>
        <c:lblAlgn val="ctr"/>
        <c:lblOffset val="100"/>
        <c:noMultiLvlLbl val="0"/>
      </c:catAx>
      <c:valAx>
        <c:axId val="64781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19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based!PivotTable8</c:name>
    <c:fmtId val="2"/>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ofPieChart>
        <c:ofPieType val="bar"/>
        <c:varyColors val="1"/>
        <c:ser>
          <c:idx val="0"/>
          <c:order val="0"/>
          <c:tx>
            <c:strRef>
              <c:f>'Category based'!$B$32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'Category based'!$A$33:$A$37</c:f>
              <c:strCache>
                <c:ptCount val="4"/>
                <c:pt idx="0">
                  <c:v>Critical</c:v>
                </c:pt>
                <c:pt idx="1">
                  <c:v>High</c:v>
                </c:pt>
                <c:pt idx="2">
                  <c:v>Low</c:v>
                </c:pt>
                <c:pt idx="3">
                  <c:v>Medium</c:v>
                </c:pt>
              </c:strCache>
            </c:strRef>
          </c:cat>
          <c:val>
            <c:numRef>
              <c:f>'Category based'!$B$33:$B$37</c:f>
              <c:numCache>
                <c:formatCode>mm:ss</c:formatCode>
                <c:ptCount val="4"/>
                <c:pt idx="0">
                  <c:v>1.3793402777777779E-2</c:v>
                </c:pt>
                <c:pt idx="1">
                  <c:v>9.2476851851851852E-3</c:v>
                </c:pt>
                <c:pt idx="2">
                  <c:v>1.5622405810983399E-2</c:v>
                </c:pt>
                <c:pt idx="3">
                  <c:v>1.2602329512051737E-2</c:v>
                </c:pt>
              </c:numCache>
            </c:numRef>
          </c:val>
          <c:extLst>
            <c:ext xmlns:c16="http://schemas.microsoft.com/office/drawing/2014/chart" uri="{C3380CC4-5D6E-409C-BE32-E72D297353CC}">
              <c16:uniqueId val="{00000000-E6C9-4D90-BDAB-6BEC9EA589D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analysis.xlsx]Analyst Based!PivotTable3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No</a:t>
            </a:r>
            <a:r>
              <a:rPr lang="en-US" b="1" baseline="0"/>
              <a:t> of Tickets Handled</a:t>
            </a:r>
            <a:endParaRPr lang="en-US" b="1"/>
          </a:p>
        </c:rich>
      </c:tx>
      <c:layout>
        <c:manualLayout>
          <c:xMode val="edge"/>
          <c:yMode val="edge"/>
          <c:x val="0.32829672124436099"/>
          <c:y val="5.30638053843251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6"/>
          </a:solidFill>
          <a:ln>
            <a:noFill/>
          </a:ln>
          <a:effectLst/>
        </c:spPr>
      </c:pivotFmt>
      <c:pivotFmt>
        <c:idx val="2"/>
        <c:spPr>
          <a:solidFill>
            <a:schemeClr val="accent2"/>
          </a:solidFill>
          <a:ln>
            <a:noFill/>
          </a:ln>
          <a:effectLst/>
        </c:spPr>
        <c:marker>
          <c:symbol val="none"/>
        </c:marker>
      </c:pivotFmt>
    </c:pivotFmts>
    <c:plotArea>
      <c:layout/>
      <c:barChart>
        <c:barDir val="col"/>
        <c:grouping val="stacked"/>
        <c:varyColors val="0"/>
        <c:ser>
          <c:idx val="0"/>
          <c:order val="0"/>
          <c:tx>
            <c:strRef>
              <c:f>'Analyst Based'!$B$1</c:f>
              <c:strCache>
                <c:ptCount val="1"/>
                <c:pt idx="0">
                  <c:v>Total</c:v>
                </c:pt>
              </c:strCache>
            </c:strRef>
          </c:tx>
          <c:spPr>
            <a:solidFill>
              <a:schemeClr val="accent2"/>
            </a:solidFill>
            <a:ln>
              <a:noFill/>
            </a:ln>
            <a:effectLst/>
          </c:spPr>
          <c:invertIfNegative val="0"/>
          <c:dPt>
            <c:idx val="8"/>
            <c:invertIfNegative val="0"/>
            <c:bubble3D val="0"/>
            <c:spPr>
              <a:solidFill>
                <a:schemeClr val="accent6"/>
              </a:solidFill>
              <a:ln>
                <a:noFill/>
              </a:ln>
              <a:effectLst/>
            </c:spPr>
            <c:extLst>
              <c:ext xmlns:c16="http://schemas.microsoft.com/office/drawing/2014/chart" uri="{C3380CC4-5D6E-409C-BE32-E72D297353CC}">
                <c16:uniqueId val="{00000004-AFB0-4B8D-9835-DB2EDFFC8806}"/>
              </c:ext>
            </c:extLst>
          </c:dPt>
          <c:cat>
            <c:strRef>
              <c:f>'Analyst Based'!$A$2:$A$12</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Based'!$B$2:$B$12</c:f>
              <c:numCache>
                <c:formatCode>General</c:formatCode>
                <c:ptCount val="10"/>
                <c:pt idx="0">
                  <c:v>16</c:v>
                </c:pt>
                <c:pt idx="1">
                  <c:v>15</c:v>
                </c:pt>
                <c:pt idx="2">
                  <c:v>17</c:v>
                </c:pt>
                <c:pt idx="3">
                  <c:v>17</c:v>
                </c:pt>
                <c:pt idx="4">
                  <c:v>13</c:v>
                </c:pt>
                <c:pt idx="5">
                  <c:v>8</c:v>
                </c:pt>
                <c:pt idx="6">
                  <c:v>7</c:v>
                </c:pt>
                <c:pt idx="7">
                  <c:v>16</c:v>
                </c:pt>
                <c:pt idx="8">
                  <c:v>27</c:v>
                </c:pt>
                <c:pt idx="9">
                  <c:v>14</c:v>
                </c:pt>
              </c:numCache>
            </c:numRef>
          </c:val>
          <c:extLst>
            <c:ext xmlns:c16="http://schemas.microsoft.com/office/drawing/2014/chart" uri="{C3380CC4-5D6E-409C-BE32-E72D297353CC}">
              <c16:uniqueId val="{00000000-AFB0-4B8D-9835-DB2EDFFC8806}"/>
            </c:ext>
          </c:extLst>
        </c:ser>
        <c:dLbls>
          <c:showLegendKey val="0"/>
          <c:showVal val="0"/>
          <c:showCatName val="0"/>
          <c:showSerName val="0"/>
          <c:showPercent val="0"/>
          <c:showBubbleSize val="0"/>
        </c:dLbls>
        <c:gapWidth val="150"/>
        <c:overlap val="100"/>
        <c:axId val="638252848"/>
        <c:axId val="638254512"/>
      </c:barChart>
      <c:catAx>
        <c:axId val="6382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54512"/>
        <c:crosses val="autoZero"/>
        <c:auto val="1"/>
        <c:lblAlgn val="ctr"/>
        <c:lblOffset val="100"/>
        <c:noMultiLvlLbl val="0"/>
      </c:catAx>
      <c:valAx>
        <c:axId val="63825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analysis.xlsx]Analyst Based!PivotTable4</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resolution time taken</a:t>
            </a:r>
            <a:endParaRPr lang="en-US" b="1"/>
          </a:p>
        </c:rich>
      </c:tx>
      <c:layout>
        <c:manualLayout>
          <c:xMode val="edge"/>
          <c:yMode val="edge"/>
          <c:x val="0.35741701831469963"/>
          <c:y val="4.16593293250484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6600"/>
          </a:solidFill>
          <a:ln>
            <a:noFill/>
          </a:ln>
          <a:effectLst/>
        </c:spPr>
      </c:pivotFmt>
      <c:pivotFmt>
        <c:idx val="2"/>
        <c:spPr>
          <a:solidFill>
            <a:srgbClr val="FF6600"/>
          </a:solidFill>
          <a:ln>
            <a:noFill/>
          </a:ln>
          <a:effectLst/>
        </c:spPr>
      </c:pivotFmt>
      <c:pivotFmt>
        <c:idx val="3"/>
        <c:spPr>
          <a:solidFill>
            <a:schemeClr val="accent6"/>
          </a:solidFill>
          <a:ln>
            <a:noFill/>
          </a:ln>
          <a:effectLst/>
        </c:spPr>
      </c:pivotFmt>
    </c:pivotFmts>
    <c:plotArea>
      <c:layout/>
      <c:barChart>
        <c:barDir val="bar"/>
        <c:grouping val="stacked"/>
        <c:varyColors val="0"/>
        <c:ser>
          <c:idx val="0"/>
          <c:order val="0"/>
          <c:tx>
            <c:strRef>
              <c:f>'Analyst Based'!$B$19</c:f>
              <c:strCache>
                <c:ptCount val="1"/>
                <c:pt idx="0">
                  <c:v>Total</c:v>
                </c:pt>
              </c:strCache>
            </c:strRef>
          </c:tx>
          <c:spPr>
            <a:solidFill>
              <a:schemeClr val="accent1"/>
            </a:solidFill>
            <a:ln>
              <a:noFill/>
            </a:ln>
            <a:effectLst/>
          </c:spPr>
          <c:invertIfNegative val="0"/>
          <c:dPt>
            <c:idx val="1"/>
            <c:invertIfNegative val="0"/>
            <c:bubble3D val="0"/>
            <c:spPr>
              <a:solidFill>
                <a:srgbClr val="FF6600"/>
              </a:solidFill>
              <a:ln>
                <a:noFill/>
              </a:ln>
              <a:effectLst/>
            </c:spPr>
            <c:extLst>
              <c:ext xmlns:c16="http://schemas.microsoft.com/office/drawing/2014/chart" uri="{C3380CC4-5D6E-409C-BE32-E72D297353CC}">
                <c16:uniqueId val="{00000004-3E84-446C-9B3C-ABE20734D7B4}"/>
              </c:ext>
            </c:extLst>
          </c:dPt>
          <c:dPt>
            <c:idx val="5"/>
            <c:invertIfNegative val="0"/>
            <c:bubble3D val="0"/>
            <c:spPr>
              <a:solidFill>
                <a:srgbClr val="FF6600"/>
              </a:solidFill>
              <a:ln>
                <a:noFill/>
              </a:ln>
              <a:effectLst/>
            </c:spPr>
            <c:extLst>
              <c:ext xmlns:c16="http://schemas.microsoft.com/office/drawing/2014/chart" uri="{C3380CC4-5D6E-409C-BE32-E72D297353CC}">
                <c16:uniqueId val="{00000003-3E84-446C-9B3C-ABE20734D7B4}"/>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7-3E84-446C-9B3C-ABE20734D7B4}"/>
              </c:ext>
            </c:extLst>
          </c:dPt>
          <c:cat>
            <c:strRef>
              <c:f>'Analyst Based'!$A$20:$A$30</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Based'!$B$20:$B$30</c:f>
              <c:numCache>
                <c:formatCode>mm:ss</c:formatCode>
                <c:ptCount val="10"/>
                <c:pt idx="0">
                  <c:v>1.493561921296296E-2</c:v>
                </c:pt>
                <c:pt idx="1">
                  <c:v>1.6556327160493829E-2</c:v>
                </c:pt>
                <c:pt idx="2">
                  <c:v>1.2279411764705884E-2</c:v>
                </c:pt>
                <c:pt idx="3">
                  <c:v>1.4567674291938996E-2</c:v>
                </c:pt>
                <c:pt idx="4">
                  <c:v>1.2966524216524215E-2</c:v>
                </c:pt>
                <c:pt idx="5">
                  <c:v>1.7377025462962964E-2</c:v>
                </c:pt>
                <c:pt idx="6">
                  <c:v>8.936838624338625E-3</c:v>
                </c:pt>
                <c:pt idx="7">
                  <c:v>7.8399884259259256E-3</c:v>
                </c:pt>
                <c:pt idx="8">
                  <c:v>1.4379715363511665E-2</c:v>
                </c:pt>
                <c:pt idx="9">
                  <c:v>1.134755291005291E-2</c:v>
                </c:pt>
              </c:numCache>
            </c:numRef>
          </c:val>
          <c:extLst>
            <c:ext xmlns:c16="http://schemas.microsoft.com/office/drawing/2014/chart" uri="{C3380CC4-5D6E-409C-BE32-E72D297353CC}">
              <c16:uniqueId val="{00000000-3E84-446C-9B3C-ABE20734D7B4}"/>
            </c:ext>
          </c:extLst>
        </c:ser>
        <c:dLbls>
          <c:showLegendKey val="0"/>
          <c:showVal val="0"/>
          <c:showCatName val="0"/>
          <c:showSerName val="0"/>
          <c:showPercent val="0"/>
          <c:showBubbleSize val="0"/>
        </c:dLbls>
        <c:gapWidth val="150"/>
        <c:overlap val="100"/>
        <c:axId val="502397648"/>
        <c:axId val="502379760"/>
      </c:barChart>
      <c:catAx>
        <c:axId val="50239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79760"/>
        <c:crosses val="autoZero"/>
        <c:auto val="1"/>
        <c:lblAlgn val="ctr"/>
        <c:lblOffset val="100"/>
        <c:noMultiLvlLbl val="0"/>
      </c:catAx>
      <c:valAx>
        <c:axId val="502379760"/>
        <c:scaling>
          <c:orientation val="minMax"/>
        </c:scaling>
        <c:delete val="0"/>
        <c:axPos val="b"/>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97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analysis.xlsx]Analyst Based!PivotTable5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tickets based on priority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s>
    <c:plotArea>
      <c:layout/>
      <c:barChart>
        <c:barDir val="col"/>
        <c:grouping val="clustered"/>
        <c:varyColors val="0"/>
        <c:ser>
          <c:idx val="0"/>
          <c:order val="0"/>
          <c:tx>
            <c:strRef>
              <c:f>'Analyst Based'!$B$35:$B$36</c:f>
              <c:strCache>
                <c:ptCount val="1"/>
                <c:pt idx="0">
                  <c:v>Critical</c:v>
                </c:pt>
              </c:strCache>
            </c:strRef>
          </c:tx>
          <c:spPr>
            <a:solidFill>
              <a:schemeClr val="accent6"/>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Based'!$B$37:$B$47</c:f>
              <c:numCache>
                <c:formatCode>General</c:formatCode>
                <c:ptCount val="10"/>
                <c:pt idx="0">
                  <c:v>1</c:v>
                </c:pt>
                <c:pt idx="1">
                  <c:v>1</c:v>
                </c:pt>
                <c:pt idx="2">
                  <c:v>1</c:v>
                </c:pt>
                <c:pt idx="3">
                  <c:v>1</c:v>
                </c:pt>
              </c:numCache>
            </c:numRef>
          </c:val>
          <c:extLst>
            <c:ext xmlns:c16="http://schemas.microsoft.com/office/drawing/2014/chart" uri="{C3380CC4-5D6E-409C-BE32-E72D297353CC}">
              <c16:uniqueId val="{00000000-E8E7-4DA7-B8E9-65EB1148FE06}"/>
            </c:ext>
          </c:extLst>
        </c:ser>
        <c:ser>
          <c:idx val="1"/>
          <c:order val="1"/>
          <c:tx>
            <c:strRef>
              <c:f>'Analyst Based'!$C$35:$C$36</c:f>
              <c:strCache>
                <c:ptCount val="1"/>
                <c:pt idx="0">
                  <c:v>High</c:v>
                </c:pt>
              </c:strCache>
            </c:strRef>
          </c:tx>
          <c:spPr>
            <a:solidFill>
              <a:schemeClr val="accent5"/>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Based'!$C$37:$C$47</c:f>
              <c:numCache>
                <c:formatCode>General</c:formatCode>
                <c:ptCount val="10"/>
                <c:pt idx="0">
                  <c:v>3</c:v>
                </c:pt>
                <c:pt idx="1">
                  <c:v>1</c:v>
                </c:pt>
                <c:pt idx="2">
                  <c:v>3</c:v>
                </c:pt>
                <c:pt idx="3">
                  <c:v>3</c:v>
                </c:pt>
                <c:pt idx="4">
                  <c:v>2</c:v>
                </c:pt>
                <c:pt idx="5">
                  <c:v>2</c:v>
                </c:pt>
                <c:pt idx="6">
                  <c:v>2</c:v>
                </c:pt>
                <c:pt idx="7">
                  <c:v>3</c:v>
                </c:pt>
                <c:pt idx="8">
                  <c:v>5</c:v>
                </c:pt>
                <c:pt idx="9">
                  <c:v>1</c:v>
                </c:pt>
              </c:numCache>
            </c:numRef>
          </c:val>
          <c:extLst>
            <c:ext xmlns:c16="http://schemas.microsoft.com/office/drawing/2014/chart" uri="{C3380CC4-5D6E-409C-BE32-E72D297353CC}">
              <c16:uniqueId val="{00000004-E8E7-4DA7-B8E9-65EB1148FE06}"/>
            </c:ext>
          </c:extLst>
        </c:ser>
        <c:ser>
          <c:idx val="2"/>
          <c:order val="2"/>
          <c:tx>
            <c:strRef>
              <c:f>'Analyst Based'!$D$35:$D$36</c:f>
              <c:strCache>
                <c:ptCount val="1"/>
                <c:pt idx="0">
                  <c:v>Low</c:v>
                </c:pt>
              </c:strCache>
            </c:strRef>
          </c:tx>
          <c:spPr>
            <a:solidFill>
              <a:schemeClr val="accent4"/>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Based'!$D$37:$D$47</c:f>
              <c:numCache>
                <c:formatCode>General</c:formatCode>
                <c:ptCount val="10"/>
                <c:pt idx="0">
                  <c:v>4</c:v>
                </c:pt>
                <c:pt idx="1">
                  <c:v>10</c:v>
                </c:pt>
                <c:pt idx="2">
                  <c:v>10</c:v>
                </c:pt>
                <c:pt idx="3">
                  <c:v>7</c:v>
                </c:pt>
                <c:pt idx="4">
                  <c:v>3</c:v>
                </c:pt>
                <c:pt idx="5">
                  <c:v>4</c:v>
                </c:pt>
                <c:pt idx="6">
                  <c:v>2</c:v>
                </c:pt>
                <c:pt idx="7">
                  <c:v>6</c:v>
                </c:pt>
                <c:pt idx="8">
                  <c:v>10</c:v>
                </c:pt>
                <c:pt idx="9">
                  <c:v>2</c:v>
                </c:pt>
              </c:numCache>
            </c:numRef>
          </c:val>
          <c:extLst>
            <c:ext xmlns:c16="http://schemas.microsoft.com/office/drawing/2014/chart" uri="{C3380CC4-5D6E-409C-BE32-E72D297353CC}">
              <c16:uniqueId val="{00000005-E8E7-4DA7-B8E9-65EB1148FE06}"/>
            </c:ext>
          </c:extLst>
        </c:ser>
        <c:ser>
          <c:idx val="3"/>
          <c:order val="3"/>
          <c:tx>
            <c:strRef>
              <c:f>'Analyst Based'!$E$35:$E$36</c:f>
              <c:strCache>
                <c:ptCount val="1"/>
                <c:pt idx="0">
                  <c:v>Medium</c:v>
                </c:pt>
              </c:strCache>
            </c:strRef>
          </c:tx>
          <c:spPr>
            <a:solidFill>
              <a:schemeClr val="accent6">
                <a:lumMod val="60000"/>
              </a:schemeClr>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Based'!$E$37:$E$47</c:f>
              <c:numCache>
                <c:formatCode>General</c:formatCode>
                <c:ptCount val="10"/>
                <c:pt idx="0">
                  <c:v>8</c:v>
                </c:pt>
                <c:pt idx="1">
                  <c:v>3</c:v>
                </c:pt>
                <c:pt idx="2">
                  <c:v>3</c:v>
                </c:pt>
                <c:pt idx="3">
                  <c:v>6</c:v>
                </c:pt>
                <c:pt idx="4">
                  <c:v>8</c:v>
                </c:pt>
                <c:pt idx="5">
                  <c:v>2</c:v>
                </c:pt>
                <c:pt idx="6">
                  <c:v>3</c:v>
                </c:pt>
                <c:pt idx="7">
                  <c:v>7</c:v>
                </c:pt>
                <c:pt idx="8">
                  <c:v>12</c:v>
                </c:pt>
                <c:pt idx="9">
                  <c:v>11</c:v>
                </c:pt>
              </c:numCache>
            </c:numRef>
          </c:val>
          <c:extLst>
            <c:ext xmlns:c16="http://schemas.microsoft.com/office/drawing/2014/chart" uri="{C3380CC4-5D6E-409C-BE32-E72D297353CC}">
              <c16:uniqueId val="{00000006-E8E7-4DA7-B8E9-65EB1148FE06}"/>
            </c:ext>
          </c:extLst>
        </c:ser>
        <c:dLbls>
          <c:showLegendKey val="0"/>
          <c:showVal val="0"/>
          <c:showCatName val="0"/>
          <c:showSerName val="0"/>
          <c:showPercent val="0"/>
          <c:showBubbleSize val="0"/>
        </c:dLbls>
        <c:gapWidth val="219"/>
        <c:overlap val="-27"/>
        <c:axId val="647814624"/>
        <c:axId val="647823776"/>
      </c:barChart>
      <c:catAx>
        <c:axId val="64781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3776"/>
        <c:crosses val="autoZero"/>
        <c:auto val="1"/>
        <c:lblAlgn val="ctr"/>
        <c:lblOffset val="100"/>
        <c:noMultiLvlLbl val="0"/>
      </c:catAx>
      <c:valAx>
        <c:axId val="6478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14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analysis.xlsx]Analyst Based!PivotTable10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time taken on priority basis</a:t>
            </a:r>
            <a:r>
              <a:rPr lang="en-US" sz="1600" b="1"/>
              <a:t>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'Analyst Based'!$I$36</c:f>
              <c:strCache>
                <c:ptCount val="1"/>
                <c:pt idx="0">
                  <c:v>Total</c:v>
                </c:pt>
              </c:strCache>
            </c:strRef>
          </c:tx>
          <c:spPr>
            <a:solidFill>
              <a:schemeClr val="accent1"/>
            </a:solidFill>
            <a:ln>
              <a:noFill/>
            </a:ln>
            <a:effectLst/>
            <a:sp3d/>
          </c:spPr>
          <c:invertIfNegative val="0"/>
          <c:cat>
            <c:strRef>
              <c:f>'Analyst Based'!$H$37:$H$41</c:f>
              <c:strCache>
                <c:ptCount val="4"/>
                <c:pt idx="0">
                  <c:v>Critical</c:v>
                </c:pt>
                <c:pt idx="1">
                  <c:v>High</c:v>
                </c:pt>
                <c:pt idx="2">
                  <c:v>Low</c:v>
                </c:pt>
                <c:pt idx="3">
                  <c:v>Medium</c:v>
                </c:pt>
              </c:strCache>
            </c:strRef>
          </c:cat>
          <c:val>
            <c:numRef>
              <c:f>'Analyst Based'!$I$37:$I$41</c:f>
              <c:numCache>
                <c:formatCode>mm:ss</c:formatCode>
                <c:ptCount val="4"/>
                <c:pt idx="0">
                  <c:v>1.3793402777777779E-2</c:v>
                </c:pt>
                <c:pt idx="1">
                  <c:v>9.2476851851851852E-3</c:v>
                </c:pt>
                <c:pt idx="2">
                  <c:v>1.5622405810983399E-2</c:v>
                </c:pt>
                <c:pt idx="3">
                  <c:v>1.2602329512051737E-2</c:v>
                </c:pt>
              </c:numCache>
            </c:numRef>
          </c:val>
          <c:extLst>
            <c:ext xmlns:c16="http://schemas.microsoft.com/office/drawing/2014/chart" uri="{C3380CC4-5D6E-409C-BE32-E72D297353CC}">
              <c16:uniqueId val="{00000000-6EC8-48A9-97E4-FB260BEEAB8D}"/>
            </c:ext>
          </c:extLst>
        </c:ser>
        <c:dLbls>
          <c:showLegendKey val="0"/>
          <c:showVal val="0"/>
          <c:showCatName val="0"/>
          <c:showSerName val="0"/>
          <c:showPercent val="0"/>
          <c:showBubbleSize val="0"/>
        </c:dLbls>
        <c:gapWidth val="150"/>
        <c:shape val="box"/>
        <c:axId val="1912397984"/>
        <c:axId val="1912388416"/>
        <c:axId val="0"/>
      </c:bar3DChart>
      <c:catAx>
        <c:axId val="191239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88416"/>
        <c:crosses val="autoZero"/>
        <c:auto val="1"/>
        <c:lblAlgn val="ctr"/>
        <c:lblOffset val="100"/>
        <c:noMultiLvlLbl val="0"/>
      </c:catAx>
      <c:valAx>
        <c:axId val="1912388416"/>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97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a:t>
            </a:r>
            <a:r>
              <a:rPr lang="en-US" baseline="0"/>
              <a:t> Vs Priority</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'Category based'!$B$16:$B$17</c:f>
              <c:strCache>
                <c:ptCount val="1"/>
                <c:pt idx="0">
                  <c:v>Critical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based'!$B$18:$B$25</c:f>
              <c:numCache>
                <c:formatCode>General</c:formatCode>
                <c:ptCount val="7"/>
                <c:pt idx="1">
                  <c:v>1</c:v>
                </c:pt>
                <c:pt idx="2">
                  <c:v>1</c:v>
                </c:pt>
                <c:pt idx="6">
                  <c:v>2</c:v>
                </c:pt>
              </c:numCache>
            </c:numRef>
          </c:val>
          <c:extLst>
            <c:ext xmlns:c16="http://schemas.microsoft.com/office/drawing/2014/chart" uri="{C3380CC4-5D6E-409C-BE32-E72D297353CC}">
              <c16:uniqueId val="{00000000-4B19-42C4-839D-B2BA4DAD5CD1}"/>
            </c:ext>
          </c:extLst>
        </c:ser>
        <c:ser>
          <c:idx val="1"/>
          <c:order val="1"/>
          <c:tx>
            <c:strRef>
              <c:f>'Category based'!$C$16:$C$17</c:f>
              <c:strCache>
                <c:ptCount val="1"/>
                <c:pt idx="0">
                  <c:v>High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based'!$C$18:$C$25</c:f>
              <c:numCache>
                <c:formatCode>General</c:formatCode>
                <c:ptCount val="7"/>
                <c:pt idx="0">
                  <c:v>4</c:v>
                </c:pt>
                <c:pt idx="1">
                  <c:v>1</c:v>
                </c:pt>
                <c:pt idx="2">
                  <c:v>4</c:v>
                </c:pt>
                <c:pt idx="3">
                  <c:v>5</c:v>
                </c:pt>
                <c:pt idx="4">
                  <c:v>3</c:v>
                </c:pt>
                <c:pt idx="5">
                  <c:v>1</c:v>
                </c:pt>
                <c:pt idx="6">
                  <c:v>7</c:v>
                </c:pt>
              </c:numCache>
            </c:numRef>
          </c:val>
          <c:extLst>
            <c:ext xmlns:c16="http://schemas.microsoft.com/office/drawing/2014/chart" uri="{C3380CC4-5D6E-409C-BE32-E72D297353CC}">
              <c16:uniqueId val="{00000004-4B19-42C4-839D-B2BA4DAD5CD1}"/>
            </c:ext>
          </c:extLst>
        </c:ser>
        <c:ser>
          <c:idx val="2"/>
          <c:order val="2"/>
          <c:tx>
            <c:strRef>
              <c:f>'Category based'!$D$16:$D$17</c:f>
              <c:strCache>
                <c:ptCount val="1"/>
                <c:pt idx="0">
                  <c:v>Low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based'!$D$18:$D$25</c:f>
              <c:numCache>
                <c:formatCode>General</c:formatCode>
                <c:ptCount val="7"/>
                <c:pt idx="0">
                  <c:v>6</c:v>
                </c:pt>
                <c:pt idx="1">
                  <c:v>6</c:v>
                </c:pt>
                <c:pt idx="2">
                  <c:v>10</c:v>
                </c:pt>
                <c:pt idx="3">
                  <c:v>7</c:v>
                </c:pt>
                <c:pt idx="4">
                  <c:v>7</c:v>
                </c:pt>
                <c:pt idx="5">
                  <c:v>6</c:v>
                </c:pt>
                <c:pt idx="6">
                  <c:v>16</c:v>
                </c:pt>
              </c:numCache>
            </c:numRef>
          </c:val>
          <c:extLst>
            <c:ext xmlns:c16="http://schemas.microsoft.com/office/drawing/2014/chart" uri="{C3380CC4-5D6E-409C-BE32-E72D297353CC}">
              <c16:uniqueId val="{00000005-4B19-42C4-839D-B2BA4DAD5CD1}"/>
            </c:ext>
          </c:extLst>
        </c:ser>
        <c:ser>
          <c:idx val="3"/>
          <c:order val="3"/>
          <c:tx>
            <c:strRef>
              <c:f>'Category based'!$E$16:$E$17</c:f>
              <c:strCache>
                <c:ptCount val="1"/>
                <c:pt idx="0">
                  <c:v>Medium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'Category based'!$A$18:$A$25</c:f>
              <c:strCache>
                <c:ptCount val="7"/>
                <c:pt idx="0">
                  <c:v>Access</c:v>
                </c:pt>
                <c:pt idx="1">
                  <c:v>Billing</c:v>
                </c:pt>
                <c:pt idx="2">
                  <c:v>Hardware</c:v>
                </c:pt>
                <c:pt idx="3">
                  <c:v>Network</c:v>
                </c:pt>
                <c:pt idx="4">
                  <c:v>Other</c:v>
                </c:pt>
                <c:pt idx="5">
                  <c:v>Security</c:v>
                </c:pt>
                <c:pt idx="6">
                  <c:v>Software</c:v>
                </c:pt>
              </c:strCache>
            </c:strRef>
          </c:cat>
          <c:val>
            <c:numRef>
              <c:f>'Category based'!$E$18:$E$25</c:f>
              <c:numCache>
                <c:formatCode>General</c:formatCode>
                <c:ptCount val="7"/>
                <c:pt idx="0">
                  <c:v>5</c:v>
                </c:pt>
                <c:pt idx="1">
                  <c:v>4</c:v>
                </c:pt>
                <c:pt idx="2">
                  <c:v>9</c:v>
                </c:pt>
                <c:pt idx="3">
                  <c:v>11</c:v>
                </c:pt>
                <c:pt idx="4">
                  <c:v>8</c:v>
                </c:pt>
                <c:pt idx="6">
                  <c:v>26</c:v>
                </c:pt>
              </c:numCache>
            </c:numRef>
          </c:val>
          <c:extLst>
            <c:ext xmlns:c16="http://schemas.microsoft.com/office/drawing/2014/chart" uri="{C3380CC4-5D6E-409C-BE32-E72D297353CC}">
              <c16:uniqueId val="{00000006-4B19-42C4-839D-B2BA4DAD5CD1}"/>
            </c:ext>
          </c:extLst>
        </c:ser>
        <c:dLbls>
          <c:showLegendKey val="0"/>
          <c:showVal val="0"/>
          <c:showCatName val="0"/>
          <c:showSerName val="0"/>
          <c:showPercent val="0"/>
          <c:showBubbleSize val="0"/>
        </c:dLbls>
        <c:gapWidth val="100"/>
        <c:overlap val="-24"/>
        <c:axId val="647819200"/>
        <c:axId val="647812128"/>
      </c:barChart>
      <c:catAx>
        <c:axId val="6478192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812128"/>
        <c:crosses val="autoZero"/>
        <c:auto val="1"/>
        <c:lblAlgn val="ctr"/>
        <c:lblOffset val="100"/>
        <c:noMultiLvlLbl val="0"/>
      </c:catAx>
      <c:valAx>
        <c:axId val="64781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819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based!PivotTable8</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Priority</a:t>
            </a:r>
            <a:r>
              <a:rPr lang="en-US" b="1" baseline="0"/>
              <a:t> Distribution</a:t>
            </a:r>
            <a:endParaRPr lang="en-US" b="1"/>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pivotFmt>
    </c:pivotFmts>
    <c:plotArea>
      <c:layout/>
      <c:ofPieChart>
        <c:ofPieType val="bar"/>
        <c:varyColors val="1"/>
        <c:ser>
          <c:idx val="0"/>
          <c:order val="0"/>
          <c:tx>
            <c:strRef>
              <c:f>'Category based'!$B$32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3B8-44BA-9B0F-15950F8311B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3B8-44BA-9B0F-15950F8311B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3B8-44BA-9B0F-15950F8311B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3B8-44BA-9B0F-15950F8311B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43B8-44BA-9B0F-15950F8311B2}"/>
              </c:ext>
            </c:extLst>
          </c:dPt>
          <c:cat>
            <c:strRef>
              <c:f>'Category based'!$A$33:$A$37</c:f>
              <c:strCache>
                <c:ptCount val="4"/>
                <c:pt idx="0">
                  <c:v>Critical</c:v>
                </c:pt>
                <c:pt idx="1">
                  <c:v>High</c:v>
                </c:pt>
                <c:pt idx="2">
                  <c:v>Low</c:v>
                </c:pt>
                <c:pt idx="3">
                  <c:v>Medium</c:v>
                </c:pt>
              </c:strCache>
            </c:strRef>
          </c:cat>
          <c:val>
            <c:numRef>
              <c:f>'Category based'!$B$33:$B$37</c:f>
              <c:numCache>
                <c:formatCode>mm:ss</c:formatCode>
                <c:ptCount val="4"/>
                <c:pt idx="0">
                  <c:v>1.3793402777777779E-2</c:v>
                </c:pt>
                <c:pt idx="1">
                  <c:v>9.2476851851851852E-3</c:v>
                </c:pt>
                <c:pt idx="2">
                  <c:v>1.5622405810983399E-2</c:v>
                </c:pt>
                <c:pt idx="3">
                  <c:v>1.2602329512051737E-2</c:v>
                </c:pt>
              </c:numCache>
            </c:numRef>
          </c:val>
          <c:extLst>
            <c:ext xmlns:c16="http://schemas.microsoft.com/office/drawing/2014/chart" uri="{C3380CC4-5D6E-409C-BE32-E72D297353CC}">
              <c16:uniqueId val="{0000000A-43B8-44BA-9B0F-15950F8311B2}"/>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analysis.xlsx]Analyst Based!PivotTable5</c:name>
    <c:fmtId val="5"/>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
        <c:idx val="13"/>
        <c:spPr>
          <a:solidFill>
            <a:schemeClr val="accent6"/>
          </a:solidFill>
          <a:ln>
            <a:noFill/>
          </a:ln>
          <a:effectLst/>
        </c:spPr>
        <c:marker>
          <c:symbol val="none"/>
        </c:marker>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pivotFmt>
    </c:pivotFmts>
    <c:plotArea>
      <c:layout/>
      <c:barChart>
        <c:barDir val="col"/>
        <c:grouping val="clustered"/>
        <c:varyColors val="0"/>
        <c:ser>
          <c:idx val="0"/>
          <c:order val="0"/>
          <c:tx>
            <c:strRef>
              <c:f>'Analyst Based'!$B$35:$B$36</c:f>
              <c:strCache>
                <c:ptCount val="1"/>
                <c:pt idx="0">
                  <c:v>Critical</c:v>
                </c:pt>
              </c:strCache>
            </c:strRef>
          </c:tx>
          <c:spPr>
            <a:solidFill>
              <a:schemeClr val="accent6"/>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Based'!$B$37:$B$47</c:f>
              <c:numCache>
                <c:formatCode>General</c:formatCode>
                <c:ptCount val="10"/>
                <c:pt idx="0">
                  <c:v>1</c:v>
                </c:pt>
                <c:pt idx="1">
                  <c:v>1</c:v>
                </c:pt>
                <c:pt idx="2">
                  <c:v>1</c:v>
                </c:pt>
                <c:pt idx="3">
                  <c:v>1</c:v>
                </c:pt>
              </c:numCache>
            </c:numRef>
          </c:val>
          <c:extLst>
            <c:ext xmlns:c16="http://schemas.microsoft.com/office/drawing/2014/chart" uri="{C3380CC4-5D6E-409C-BE32-E72D297353CC}">
              <c16:uniqueId val="{00000000-1BCA-4E50-88A8-BC8A63F2CA3E}"/>
            </c:ext>
          </c:extLst>
        </c:ser>
        <c:ser>
          <c:idx val="1"/>
          <c:order val="1"/>
          <c:tx>
            <c:strRef>
              <c:f>'Analyst Based'!$C$35:$C$36</c:f>
              <c:strCache>
                <c:ptCount val="1"/>
                <c:pt idx="0">
                  <c:v>High</c:v>
                </c:pt>
              </c:strCache>
            </c:strRef>
          </c:tx>
          <c:spPr>
            <a:solidFill>
              <a:schemeClr val="accent5"/>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Based'!$C$37:$C$47</c:f>
              <c:numCache>
                <c:formatCode>General</c:formatCode>
                <c:ptCount val="10"/>
                <c:pt idx="0">
                  <c:v>3</c:v>
                </c:pt>
                <c:pt idx="1">
                  <c:v>1</c:v>
                </c:pt>
                <c:pt idx="2">
                  <c:v>3</c:v>
                </c:pt>
                <c:pt idx="3">
                  <c:v>3</c:v>
                </c:pt>
                <c:pt idx="4">
                  <c:v>2</c:v>
                </c:pt>
                <c:pt idx="5">
                  <c:v>2</c:v>
                </c:pt>
                <c:pt idx="6">
                  <c:v>2</c:v>
                </c:pt>
                <c:pt idx="7">
                  <c:v>3</c:v>
                </c:pt>
                <c:pt idx="8">
                  <c:v>5</c:v>
                </c:pt>
                <c:pt idx="9">
                  <c:v>1</c:v>
                </c:pt>
              </c:numCache>
            </c:numRef>
          </c:val>
          <c:extLst>
            <c:ext xmlns:c16="http://schemas.microsoft.com/office/drawing/2014/chart" uri="{C3380CC4-5D6E-409C-BE32-E72D297353CC}">
              <c16:uniqueId val="{00000004-1BCA-4E50-88A8-BC8A63F2CA3E}"/>
            </c:ext>
          </c:extLst>
        </c:ser>
        <c:ser>
          <c:idx val="2"/>
          <c:order val="2"/>
          <c:tx>
            <c:strRef>
              <c:f>'Analyst Based'!$D$35:$D$36</c:f>
              <c:strCache>
                <c:ptCount val="1"/>
                <c:pt idx="0">
                  <c:v>Low</c:v>
                </c:pt>
              </c:strCache>
            </c:strRef>
          </c:tx>
          <c:spPr>
            <a:solidFill>
              <a:schemeClr val="accent4"/>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Based'!$D$37:$D$47</c:f>
              <c:numCache>
                <c:formatCode>General</c:formatCode>
                <c:ptCount val="10"/>
                <c:pt idx="0">
                  <c:v>4</c:v>
                </c:pt>
                <c:pt idx="1">
                  <c:v>10</c:v>
                </c:pt>
                <c:pt idx="2">
                  <c:v>10</c:v>
                </c:pt>
                <c:pt idx="3">
                  <c:v>7</c:v>
                </c:pt>
                <c:pt idx="4">
                  <c:v>3</c:v>
                </c:pt>
                <c:pt idx="5">
                  <c:v>4</c:v>
                </c:pt>
                <c:pt idx="6">
                  <c:v>2</c:v>
                </c:pt>
                <c:pt idx="7">
                  <c:v>6</c:v>
                </c:pt>
                <c:pt idx="8">
                  <c:v>10</c:v>
                </c:pt>
                <c:pt idx="9">
                  <c:v>2</c:v>
                </c:pt>
              </c:numCache>
            </c:numRef>
          </c:val>
          <c:extLst>
            <c:ext xmlns:c16="http://schemas.microsoft.com/office/drawing/2014/chart" uri="{C3380CC4-5D6E-409C-BE32-E72D297353CC}">
              <c16:uniqueId val="{00000005-1BCA-4E50-88A8-BC8A63F2CA3E}"/>
            </c:ext>
          </c:extLst>
        </c:ser>
        <c:ser>
          <c:idx val="3"/>
          <c:order val="3"/>
          <c:tx>
            <c:strRef>
              <c:f>'Analyst Based'!$E$35:$E$36</c:f>
              <c:strCache>
                <c:ptCount val="1"/>
                <c:pt idx="0">
                  <c:v>Medium</c:v>
                </c:pt>
              </c:strCache>
            </c:strRef>
          </c:tx>
          <c:spPr>
            <a:solidFill>
              <a:schemeClr val="accent6">
                <a:lumMod val="60000"/>
              </a:schemeClr>
            </a:solidFill>
            <a:ln>
              <a:noFill/>
            </a:ln>
            <a:effectLst/>
          </c:spPr>
          <c:invertIfNegative val="0"/>
          <c:cat>
            <c:strRef>
              <c:f>'Analyst Based'!$A$37:$A$47</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Based'!$E$37:$E$47</c:f>
              <c:numCache>
                <c:formatCode>General</c:formatCode>
                <c:ptCount val="10"/>
                <c:pt idx="0">
                  <c:v>8</c:v>
                </c:pt>
                <c:pt idx="1">
                  <c:v>3</c:v>
                </c:pt>
                <c:pt idx="2">
                  <c:v>3</c:v>
                </c:pt>
                <c:pt idx="3">
                  <c:v>6</c:v>
                </c:pt>
                <c:pt idx="4">
                  <c:v>8</c:v>
                </c:pt>
                <c:pt idx="5">
                  <c:v>2</c:v>
                </c:pt>
                <c:pt idx="6">
                  <c:v>3</c:v>
                </c:pt>
                <c:pt idx="7">
                  <c:v>7</c:v>
                </c:pt>
                <c:pt idx="8">
                  <c:v>12</c:v>
                </c:pt>
                <c:pt idx="9">
                  <c:v>11</c:v>
                </c:pt>
              </c:numCache>
            </c:numRef>
          </c:val>
          <c:extLst>
            <c:ext xmlns:c16="http://schemas.microsoft.com/office/drawing/2014/chart" uri="{C3380CC4-5D6E-409C-BE32-E72D297353CC}">
              <c16:uniqueId val="{00000006-1BCA-4E50-88A8-BC8A63F2CA3E}"/>
            </c:ext>
          </c:extLst>
        </c:ser>
        <c:dLbls>
          <c:showLegendKey val="0"/>
          <c:showVal val="0"/>
          <c:showCatName val="0"/>
          <c:showSerName val="0"/>
          <c:showPercent val="0"/>
          <c:showBubbleSize val="0"/>
        </c:dLbls>
        <c:gapWidth val="219"/>
        <c:overlap val="-27"/>
        <c:axId val="647814624"/>
        <c:axId val="647823776"/>
      </c:barChart>
      <c:catAx>
        <c:axId val="64781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3776"/>
        <c:crosses val="autoZero"/>
        <c:auto val="1"/>
        <c:lblAlgn val="ctr"/>
        <c:lblOffset val="100"/>
        <c:noMultiLvlLbl val="0"/>
      </c:catAx>
      <c:valAx>
        <c:axId val="6478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14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helpdesk data analysis.xlsx]Category based!PivotTable1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Vs Average Time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'Category based'!$B$1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'Category based'!$A$2:$A$9</c:f>
              <c:strCache>
                <c:ptCount val="7"/>
                <c:pt idx="0">
                  <c:v>Access</c:v>
                </c:pt>
                <c:pt idx="1">
                  <c:v>Billing</c:v>
                </c:pt>
                <c:pt idx="2">
                  <c:v>Hardware</c:v>
                </c:pt>
                <c:pt idx="3">
                  <c:v>Network</c:v>
                </c:pt>
                <c:pt idx="4">
                  <c:v>Other</c:v>
                </c:pt>
                <c:pt idx="5">
                  <c:v>Security</c:v>
                </c:pt>
                <c:pt idx="6">
                  <c:v>Software</c:v>
                </c:pt>
              </c:strCache>
            </c:strRef>
          </c:cat>
          <c:val>
            <c:numRef>
              <c:f>'Category based'!$B$2:$B$9</c:f>
              <c:numCache>
                <c:formatCode>mm:ss</c:formatCode>
                <c:ptCount val="7"/>
                <c:pt idx="0">
                  <c:v>1.8801697530864199E-2</c:v>
                </c:pt>
                <c:pt idx="1">
                  <c:v>1.2489390432098764E-2</c:v>
                </c:pt>
                <c:pt idx="2">
                  <c:v>1.0124421296296296E-2</c:v>
                </c:pt>
                <c:pt idx="3">
                  <c:v>1.3201992753623191E-2</c:v>
                </c:pt>
                <c:pt idx="4">
                  <c:v>1.6619084362139921E-2</c:v>
                </c:pt>
                <c:pt idx="5">
                  <c:v>1.3270502645502644E-2</c:v>
                </c:pt>
                <c:pt idx="6">
                  <c:v>1.2075390341321716E-2</c:v>
                </c:pt>
              </c:numCache>
            </c:numRef>
          </c:val>
          <c:smooth val="0"/>
          <c:extLst>
            <c:ext xmlns:c16="http://schemas.microsoft.com/office/drawing/2014/chart" uri="{C3380CC4-5D6E-409C-BE32-E72D297353CC}">
              <c16:uniqueId val="{00000000-9533-4B6C-B931-E3DB29D7600E}"/>
            </c:ext>
          </c:extLst>
        </c:ser>
        <c:dLbls>
          <c:showLegendKey val="0"/>
          <c:showVal val="0"/>
          <c:showCatName val="0"/>
          <c:showSerName val="0"/>
          <c:showPercent val="0"/>
          <c:showBubbleSize val="0"/>
        </c:dLbls>
        <c:marker val="1"/>
        <c:smooth val="0"/>
        <c:axId val="647828352"/>
        <c:axId val="647822528"/>
      </c:lineChart>
      <c:catAx>
        <c:axId val="6478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2528"/>
        <c:crosses val="autoZero"/>
        <c:auto val="1"/>
        <c:lblAlgn val="ctr"/>
        <c:lblOffset val="100"/>
        <c:noMultiLvlLbl val="0"/>
      </c:catAx>
      <c:valAx>
        <c:axId val="647822528"/>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2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hyperlink" Target="#'Analyst Based'!A1"/><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338137</xdr:colOff>
      <xdr:row>0</xdr:row>
      <xdr:rowOff>152400</xdr:rowOff>
    </xdr:from>
    <xdr:to>
      <xdr:col>12</xdr:col>
      <xdr:colOff>433387</xdr:colOff>
      <xdr:row>13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166687</xdr:colOff>
      <xdr:row>14</xdr:row>
      <xdr:rowOff>47625</xdr:rowOff>
    </xdr:from>
    <xdr:to>
      <xdr:col>13</xdr:col>
      <xdr:colOff>404812</xdr:colOff>
      <xdr:row>28</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576262</xdr:colOff>
      <xdr:row>29</xdr:row>
      <xdr:rowOff>19050</xdr:rowOff>
    </xdr:from>
    <xdr:to>
      <xdr:col>13</xdr:col>
      <xdr:colOff>61912</xdr:colOff>
      <xdr:row>43</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185737</xdr:colOff>
      <xdr:row>0</xdr:row>
      <xdr:rowOff>0</xdr:rowOff>
    </xdr:from>
    <xdr:to>
      <xdr:col>11</xdr:col>
      <xdr:colOff>385762</xdr:colOff>
      <xdr:row>16</xdr:row>
      <xdr:rowOff>10582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239712</xdr:colOff>
      <xdr:row>0</xdr:row>
      <xdr:rowOff>10584</xdr:rowOff>
    </xdr:from>
    <xdr:to>
      <xdr:col>19</xdr:col>
      <xdr:colOff>201612</xdr:colOff>
      <xdr:row>16</xdr:row>
      <xdr:rowOff>10583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167745</xdr:colOff>
      <xdr:row>16</xdr:row>
      <xdr:rowOff>109008</xdr:rowOff>
    </xdr:from>
    <xdr:to>
      <xdr:col>11</xdr:col>
      <xdr:colOff>377296</xdr:colOff>
      <xdr:row>30</xdr:row>
      <xdr:rowOff>185208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253998</xdr:colOff>
      <xdr:row>16</xdr:row>
      <xdr:rowOff>141817</xdr:rowOff>
    </xdr:from>
    <xdr:to>
      <xdr:col>19</xdr:col>
      <xdr:colOff>190498</xdr:colOff>
      <xdr:row>31</xdr:row>
      <xdr:rowOff>27517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29310</xdr:colOff>
      <xdr:row>0</xdr:row>
      <xdr:rowOff>0</xdr:rowOff>
    </xdr:from>
    <xdr:to>
      <xdr:col>13</xdr:col>
      <xdr:colOff>130968</xdr:colOff>
      <xdr:row>3</xdr:row>
      <xdr:rowOff>51288</xdr:rowOff>
    </xdr:to>
    <xdr:sp macro="" textlink="">
      <xdr:nvSpPr>
        <xdr:cNvPr id="2" name="TextBox 1"/>
        <xdr:cNvSpPr txBox="1"/>
      </xdr:nvSpPr>
      <xdr:spPr>
        <a:xfrm>
          <a:off x="29310" y="0"/>
          <a:ext cx="7995502" cy="62278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IT Help Desk Ticket Analysis</a:t>
          </a:r>
        </a:p>
      </xdr:txBody>
    </xdr:sp>
    <xdr:clientData/>
  </xdr:twoCellAnchor>
  <xdr:twoCellAnchor>
    <xdr:from>
      <xdr:col>0</xdr:col>
      <xdr:colOff>814</xdr:colOff>
      <xdr:row>3</xdr:row>
      <xdr:rowOff>8954</xdr:rowOff>
    </xdr:from>
    <xdr:to>
      <xdr:col>12</xdr:col>
      <xdr:colOff>201084</xdr:colOff>
      <xdr:row>6</xdr:row>
      <xdr:rowOff>67571</xdr:rowOff>
    </xdr:to>
    <xdr:sp macro="" textlink="">
      <xdr:nvSpPr>
        <xdr:cNvPr id="3" name="TextBox 2">
          <a:hlinkClick xmlns:r="http://schemas.openxmlformats.org/officeDocument/2006/relationships" r:id="rId1"/>
        </xdr:cNvPr>
        <xdr:cNvSpPr txBox="1"/>
      </xdr:nvSpPr>
      <xdr:spPr>
        <a:xfrm>
          <a:off x="814" y="580454"/>
          <a:ext cx="7566270" cy="630117"/>
        </a:xfrm>
        <a:prstGeom prst="rect">
          <a:avLst/>
        </a:prstGeom>
        <a:solidFill>
          <a:srgbClr val="FFFF00"/>
        </a:solidFill>
        <a:ln w="9525" cmpd="sng">
          <a:solidFill>
            <a:schemeClr val="lt1">
              <a:shade val="50000"/>
            </a:schemeClr>
          </a:solidFill>
        </a:ln>
        <a:effectLst>
          <a:softEdge rad="2159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21981</xdr:colOff>
      <xdr:row>3</xdr:row>
      <xdr:rowOff>52917</xdr:rowOff>
    </xdr:from>
    <xdr:to>
      <xdr:col>2</xdr:col>
      <xdr:colOff>29308</xdr:colOff>
      <xdr:row>6</xdr:row>
      <xdr:rowOff>109905</xdr:rowOff>
    </xdr:to>
    <xdr:sp macro="" textlink="">
      <xdr:nvSpPr>
        <xdr:cNvPr id="4" name="TextBox 3"/>
        <xdr:cNvSpPr txBox="1"/>
      </xdr:nvSpPr>
      <xdr:spPr>
        <a:xfrm>
          <a:off x="21981" y="624417"/>
          <a:ext cx="1234994" cy="628488"/>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Total no tickets</a:t>
          </a:r>
          <a:r>
            <a:rPr lang="en-US" b="1"/>
            <a:t> </a:t>
          </a:r>
          <a:r>
            <a:rPr lang="en-US" sz="1100" b="1" i="0" u="none" strike="noStrike">
              <a:solidFill>
                <a:schemeClr val="dk1"/>
              </a:solidFill>
              <a:effectLst/>
              <a:latin typeface="+mn-lt"/>
              <a:ea typeface="+mn-ea"/>
              <a:cs typeface="+mn-cs"/>
            </a:rPr>
            <a:t>150</a:t>
          </a:r>
          <a:r>
            <a:rPr lang="en-US" b="1"/>
            <a:t> </a:t>
          </a:r>
          <a:endParaRPr lang="en-US" sz="1100" b="1"/>
        </a:p>
      </xdr:txBody>
    </xdr:sp>
    <xdr:clientData/>
  </xdr:twoCellAnchor>
  <xdr:twoCellAnchor>
    <xdr:from>
      <xdr:col>2</xdr:col>
      <xdr:colOff>29309</xdr:colOff>
      <xdr:row>3</xdr:row>
      <xdr:rowOff>52917</xdr:rowOff>
    </xdr:from>
    <xdr:to>
      <xdr:col>4</xdr:col>
      <xdr:colOff>7328</xdr:colOff>
      <xdr:row>6</xdr:row>
      <xdr:rowOff>109904</xdr:rowOff>
    </xdr:to>
    <xdr:sp macro="" textlink="">
      <xdr:nvSpPr>
        <xdr:cNvPr id="5" name="TextBox 4"/>
        <xdr:cNvSpPr txBox="1"/>
      </xdr:nvSpPr>
      <xdr:spPr>
        <a:xfrm>
          <a:off x="1256976" y="624417"/>
          <a:ext cx="1205685" cy="628487"/>
        </a:xfrm>
        <a:prstGeom prst="rect">
          <a:avLst/>
        </a:prstGeom>
        <a:solidFill>
          <a:srgbClr val="FF99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Average Resolution Time</a:t>
          </a:r>
          <a:r>
            <a:rPr lang="en-US" sz="1100" b="1">
              <a:solidFill>
                <a:schemeClr val="dk1"/>
              </a:solidFill>
              <a:effectLst/>
              <a:latin typeface="+mn-lt"/>
              <a:ea typeface="+mn-ea"/>
              <a:cs typeface="+mn-cs"/>
            </a:rPr>
            <a:t> </a:t>
          </a:r>
          <a:r>
            <a:rPr lang="en-US" sz="1100" b="1" i="0">
              <a:solidFill>
                <a:schemeClr val="dk1"/>
              </a:solidFill>
              <a:effectLst/>
              <a:latin typeface="+mn-lt"/>
              <a:ea typeface="+mn-ea"/>
              <a:cs typeface="+mn-cs"/>
            </a:rPr>
            <a:t>19:04</a:t>
          </a:r>
          <a:r>
            <a:rPr lang="en-US" sz="1100" b="1">
              <a:solidFill>
                <a:schemeClr val="dk1"/>
              </a:solidFill>
              <a:effectLst/>
              <a:latin typeface="+mn-lt"/>
              <a:ea typeface="+mn-ea"/>
              <a:cs typeface="+mn-cs"/>
            </a:rPr>
            <a:t> m</a:t>
          </a:r>
          <a:endParaRPr lang="en-US" b="1">
            <a:effectLst/>
          </a:endParaRPr>
        </a:p>
      </xdr:txBody>
    </xdr:sp>
    <xdr:clientData/>
  </xdr:twoCellAnchor>
  <xdr:twoCellAnchor>
    <xdr:from>
      <xdr:col>4</xdr:col>
      <xdr:colOff>14655</xdr:colOff>
      <xdr:row>3</xdr:row>
      <xdr:rowOff>42333</xdr:rowOff>
    </xdr:from>
    <xdr:to>
      <xdr:col>6</xdr:col>
      <xdr:colOff>14655</xdr:colOff>
      <xdr:row>6</xdr:row>
      <xdr:rowOff>102576</xdr:rowOff>
    </xdr:to>
    <xdr:sp macro="" textlink="">
      <xdr:nvSpPr>
        <xdr:cNvPr id="6" name="TextBox 5"/>
        <xdr:cNvSpPr txBox="1"/>
      </xdr:nvSpPr>
      <xdr:spPr>
        <a:xfrm>
          <a:off x="2469988" y="613833"/>
          <a:ext cx="1227667" cy="631743"/>
        </a:xfrm>
        <a:prstGeom prst="rect">
          <a:avLst/>
        </a:prstGeom>
        <a:solidFill>
          <a:srgbClr val="FF66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Total no of Analysts</a:t>
          </a:r>
        </a:p>
        <a:p>
          <a:pPr algn="ctr"/>
          <a:r>
            <a:rPr lang="en-US" b="1"/>
            <a:t> </a:t>
          </a:r>
          <a:r>
            <a:rPr lang="en-US" sz="1100" b="1" i="0" u="none" strike="noStrike">
              <a:solidFill>
                <a:schemeClr val="dk1"/>
              </a:solidFill>
              <a:effectLst/>
              <a:latin typeface="+mn-lt"/>
              <a:ea typeface="+mn-ea"/>
              <a:cs typeface="+mn-cs"/>
            </a:rPr>
            <a:t>10</a:t>
          </a:r>
          <a:r>
            <a:rPr lang="en-US" b="1"/>
            <a:t> </a:t>
          </a:r>
          <a:endParaRPr lang="en-US" sz="1100" b="1"/>
        </a:p>
      </xdr:txBody>
    </xdr:sp>
    <xdr:clientData/>
  </xdr:twoCellAnchor>
  <xdr:twoCellAnchor>
    <xdr:from>
      <xdr:col>6</xdr:col>
      <xdr:colOff>14654</xdr:colOff>
      <xdr:row>3</xdr:row>
      <xdr:rowOff>52916</xdr:rowOff>
    </xdr:from>
    <xdr:to>
      <xdr:col>8</xdr:col>
      <xdr:colOff>42333</xdr:colOff>
      <xdr:row>6</xdr:row>
      <xdr:rowOff>109903</xdr:rowOff>
    </xdr:to>
    <xdr:sp macro="" textlink="">
      <xdr:nvSpPr>
        <xdr:cNvPr id="7" name="TextBox 6"/>
        <xdr:cNvSpPr txBox="1"/>
      </xdr:nvSpPr>
      <xdr:spPr>
        <a:xfrm>
          <a:off x="3697654" y="624416"/>
          <a:ext cx="1255346" cy="628487"/>
        </a:xfrm>
        <a:prstGeom prst="rect">
          <a:avLst/>
        </a:prstGeom>
        <a:solidFill>
          <a:srgbClr val="66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Highest ticket Category</a:t>
          </a:r>
          <a:r>
            <a:rPr lang="en-US" b="1"/>
            <a:t> </a:t>
          </a:r>
          <a:r>
            <a:rPr lang="en-US" sz="1100" b="1" i="0" u="none" strike="noStrike">
              <a:solidFill>
                <a:schemeClr val="dk1"/>
              </a:solidFill>
              <a:effectLst/>
              <a:latin typeface="+mn-lt"/>
              <a:ea typeface="+mn-ea"/>
              <a:cs typeface="+mn-cs"/>
            </a:rPr>
            <a:t>Software</a:t>
          </a:r>
          <a:r>
            <a:rPr lang="en-US" b="1"/>
            <a:t> </a:t>
          </a:r>
          <a:endParaRPr lang="en-US" sz="1100" b="1"/>
        </a:p>
      </xdr:txBody>
    </xdr:sp>
    <xdr:clientData/>
  </xdr:twoCellAnchor>
  <xdr:twoCellAnchor>
    <xdr:from>
      <xdr:col>8</xdr:col>
      <xdr:colOff>31749</xdr:colOff>
      <xdr:row>3</xdr:row>
      <xdr:rowOff>35720</xdr:rowOff>
    </xdr:from>
    <xdr:to>
      <xdr:col>10</xdr:col>
      <xdr:colOff>345280</xdr:colOff>
      <xdr:row>6</xdr:row>
      <xdr:rowOff>178594</xdr:rowOff>
    </xdr:to>
    <xdr:sp macro="" textlink="">
      <xdr:nvSpPr>
        <xdr:cNvPr id="8" name="TextBox 7"/>
        <xdr:cNvSpPr txBox="1"/>
      </xdr:nvSpPr>
      <xdr:spPr>
        <a:xfrm>
          <a:off x="4889499" y="607220"/>
          <a:ext cx="1527969" cy="714374"/>
        </a:xfrm>
        <a:prstGeom prst="rect">
          <a:avLst/>
        </a:prstGeom>
        <a:solidFill>
          <a:srgbClr val="66FF3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Highest Average time </a:t>
          </a:r>
          <a:r>
            <a:rPr lang="en-US" b="1"/>
            <a:t> </a:t>
          </a:r>
        </a:p>
        <a:p>
          <a:pPr algn="ctr"/>
          <a:r>
            <a:rPr lang="en-US" sz="1100" b="1" i="0" u="none" strike="noStrike">
              <a:solidFill>
                <a:schemeClr val="dk1"/>
              </a:solidFill>
              <a:effectLst/>
              <a:latin typeface="+mn-lt"/>
              <a:ea typeface="+mn-ea"/>
              <a:cs typeface="+mn-cs"/>
            </a:rPr>
            <a:t>Low Priority tickets</a:t>
          </a:r>
          <a:endParaRPr lang="en-US" sz="1100" b="1"/>
        </a:p>
      </xdr:txBody>
    </xdr:sp>
    <xdr:clientData/>
  </xdr:twoCellAnchor>
  <xdr:twoCellAnchor>
    <xdr:from>
      <xdr:col>0</xdr:col>
      <xdr:colOff>14653</xdr:colOff>
      <xdr:row>6</xdr:row>
      <xdr:rowOff>124556</xdr:rowOff>
    </xdr:from>
    <xdr:to>
      <xdr:col>6</xdr:col>
      <xdr:colOff>392905</xdr:colOff>
      <xdr:row>19</xdr:row>
      <xdr:rowOff>107155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381918</xdr:colOff>
      <xdr:row>19</xdr:row>
      <xdr:rowOff>119061</xdr:rowOff>
    </xdr:from>
    <xdr:to>
      <xdr:col>11</xdr:col>
      <xdr:colOff>0</xdr:colOff>
      <xdr:row>32</xdr:row>
      <xdr:rowOff>163286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23812</xdr:colOff>
      <xdr:row>19</xdr:row>
      <xdr:rowOff>117231</xdr:rowOff>
    </xdr:from>
    <xdr:to>
      <xdr:col>6</xdr:col>
      <xdr:colOff>365430</xdr:colOff>
      <xdr:row>32</xdr:row>
      <xdr:rowOff>168520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392906</xdr:colOff>
      <xdr:row>6</xdr:row>
      <xdr:rowOff>112651</xdr:rowOff>
    </xdr:from>
    <xdr:to>
      <xdr:col>13</xdr:col>
      <xdr:colOff>154781</xdr:colOff>
      <xdr:row>19</xdr:row>
      <xdr:rowOff>125677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23813</xdr:colOff>
      <xdr:row>19</xdr:row>
      <xdr:rowOff>148961</xdr:rowOff>
    </xdr:from>
    <xdr:to>
      <xdr:col>13</xdr:col>
      <xdr:colOff>171978</xdr:colOff>
      <xdr:row>32</xdr:row>
      <xdr:rowOff>149679</xdr:rowOff>
    </xdr:to>
    <mc:AlternateContent xmlns:mc="http://schemas.openxmlformats.org/markup-compatibility/2006">
      <mc:Choice xmlns:a14="http://schemas.microsoft.com/office/drawing/2010/main" Requires="a14">
        <xdr:graphicFrame macro="">
          <xdr:nvGraphicFramePr>
            <xdr:cNvPr id="13" name="priority"/>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6664482" y="3717482"/>
              <a:ext cx="1355559" cy="2442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369094</xdr:colOff>
      <xdr:row>3</xdr:row>
      <xdr:rowOff>43657</xdr:rowOff>
    </xdr:from>
    <xdr:to>
      <xdr:col>13</xdr:col>
      <xdr:colOff>166687</xdr:colOff>
      <xdr:row>6</xdr:row>
      <xdr:rowOff>107156</xdr:rowOff>
    </xdr:to>
    <xdr:sp macro="" textlink="">
      <xdr:nvSpPr>
        <xdr:cNvPr id="17" name="Frame 16"/>
        <xdr:cNvSpPr/>
      </xdr:nvSpPr>
      <xdr:spPr>
        <a:xfrm>
          <a:off x="6441282" y="615157"/>
          <a:ext cx="1619249" cy="634999"/>
        </a:xfrm>
        <a:prstGeom prst="frame">
          <a:avLst/>
        </a:prstGeom>
        <a:solidFill>
          <a:schemeClr val="tx1">
            <a:lumMod val="75000"/>
            <a:lumOff val="25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softEdge rad="0"/>
        </a:effectLst>
        <a:scene3d>
          <a:camera prst="orthographicFront"/>
          <a:lightRig rig="threePt" dir="t"/>
        </a:scene3d>
        <a:sp3d>
          <a:bevelT w="63500"/>
          <a:bevelB w="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7030A0"/>
              </a:solidFill>
            </a:rPr>
            <a:t>ANALYST</a:t>
          </a:r>
          <a:r>
            <a:rPr lang="en-US" sz="1100" b="1" baseline="0">
              <a:solidFill>
                <a:srgbClr val="7030A0"/>
              </a:solidFill>
            </a:rPr>
            <a:t> PERFORMANCE</a:t>
          </a:r>
          <a:endParaRPr lang="en-US" sz="1100" b="1">
            <a:solidFill>
              <a:srgbClr val="7030A0"/>
            </a:solidFill>
          </a:endParaRPr>
        </a:p>
      </xdr:txBody>
    </xdr:sp>
    <xdr:clientData/>
  </xdr:twoCellAnchor>
  <xdr:twoCellAnchor>
    <xdr:from>
      <xdr:col>13</xdr:col>
      <xdr:colOff>152401</xdr:colOff>
      <xdr:row>0</xdr:row>
      <xdr:rowOff>9525</xdr:rowOff>
    </xdr:from>
    <xdr:to>
      <xdr:col>22</xdr:col>
      <xdr:colOff>295141</xdr:colOff>
      <xdr:row>32</xdr:row>
      <xdr:rowOff>160986</xdr:rowOff>
    </xdr:to>
    <xdr:sp macro="" textlink="">
      <xdr:nvSpPr>
        <xdr:cNvPr id="19" name="TextBox 18"/>
        <xdr:cNvSpPr txBox="1"/>
      </xdr:nvSpPr>
      <xdr:spPr>
        <a:xfrm>
          <a:off x="8000464" y="9525"/>
          <a:ext cx="5576015" cy="6161602"/>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7030A0"/>
              </a:solidFill>
            </a:rPr>
            <a:t>KEY</a:t>
          </a:r>
          <a:r>
            <a:rPr lang="en-US" sz="1600" b="1" baseline="0">
              <a:solidFill>
                <a:srgbClr val="7030A0"/>
              </a:solidFill>
            </a:rPr>
            <a:t> INSIGHTS</a:t>
          </a:r>
        </a:p>
        <a:p>
          <a:pPr algn="ctr"/>
          <a:endParaRPr lang="en-US" sz="1600" b="1" baseline="0"/>
        </a:p>
        <a:p>
          <a:pPr lvl="0"/>
          <a:r>
            <a:rPr lang="en-US" sz="1600" b="1">
              <a:solidFill>
                <a:schemeClr val="dk1"/>
              </a:solidFill>
              <a:effectLst/>
              <a:latin typeface="+mn-lt"/>
              <a:ea typeface="+mn-ea"/>
              <a:cs typeface="+mn-cs"/>
            </a:rPr>
            <a:t>1.Only 4 analysts resolved critical tasks indicating less number of senior analysts.</a:t>
          </a:r>
        </a:p>
        <a:p>
          <a:pPr lvl="0"/>
          <a:endParaRPr lang="en-US" sz="1600" b="1">
            <a:solidFill>
              <a:schemeClr val="dk1"/>
            </a:solidFill>
            <a:effectLst/>
            <a:latin typeface="+mn-lt"/>
            <a:ea typeface="+mn-ea"/>
            <a:cs typeface="+mn-cs"/>
          </a:endParaRPr>
        </a:p>
        <a:p>
          <a:pPr lvl="0"/>
          <a:r>
            <a:rPr lang="en-US" sz="1600" b="1">
              <a:solidFill>
                <a:schemeClr val="dk1"/>
              </a:solidFill>
              <a:effectLst/>
              <a:latin typeface="+mn-lt"/>
              <a:ea typeface="+mn-ea"/>
              <a:cs typeface="+mn-cs"/>
            </a:rPr>
            <a:t>2.Low priority tickets were given more time when compared to high priority tickets.</a:t>
          </a:r>
        </a:p>
        <a:p>
          <a:pPr lvl="0"/>
          <a:endParaRPr lang="en-US" sz="1600" b="1">
            <a:solidFill>
              <a:schemeClr val="dk1"/>
            </a:solidFill>
            <a:effectLst/>
            <a:latin typeface="+mn-lt"/>
            <a:ea typeface="+mn-ea"/>
            <a:cs typeface="+mn-cs"/>
          </a:endParaRPr>
        </a:p>
        <a:p>
          <a:pPr lvl="0"/>
          <a:r>
            <a:rPr lang="en-US" sz="1600" b="1">
              <a:solidFill>
                <a:schemeClr val="dk1"/>
              </a:solidFill>
              <a:effectLst/>
              <a:latin typeface="+mn-lt"/>
              <a:ea typeface="+mn-ea"/>
              <a:cs typeface="+mn-cs"/>
            </a:rPr>
            <a:t>3.Software issues are more than other categories.</a:t>
          </a:r>
        </a:p>
        <a:p>
          <a:pPr lvl="0"/>
          <a:endParaRPr lang="en-US" sz="1600">
            <a:solidFill>
              <a:schemeClr val="dk1"/>
            </a:solidFill>
            <a:effectLst/>
            <a:latin typeface="+mn-lt"/>
            <a:ea typeface="+mn-ea"/>
            <a:cs typeface="+mn-cs"/>
          </a:endParaRPr>
        </a:p>
        <a:p>
          <a:pPr lvl="0" algn="ctr"/>
          <a:r>
            <a:rPr lang="en-US" sz="1600" b="1">
              <a:solidFill>
                <a:srgbClr val="FF0000"/>
              </a:solidFill>
              <a:effectLst/>
              <a:latin typeface="+mn-lt"/>
              <a:ea typeface="+mn-ea"/>
              <a:cs typeface="+mn-cs"/>
            </a:rPr>
            <a:t>RECOMMENDATIONS</a:t>
          </a:r>
        </a:p>
        <a:p>
          <a:pPr lvl="0" algn="ctr"/>
          <a:endParaRPr lang="en-US" sz="1600" b="1">
            <a:solidFill>
              <a:schemeClr val="dk1"/>
            </a:solidFill>
            <a:effectLst/>
            <a:latin typeface="+mn-lt"/>
            <a:ea typeface="+mn-ea"/>
            <a:cs typeface="+mn-cs"/>
          </a:endParaRPr>
        </a:p>
        <a:p>
          <a:pPr lvl="0" algn="l"/>
          <a:r>
            <a:rPr lang="en-US" sz="1600" b="1"/>
            <a:t>1.Implement an automated password reset tool to reduce the volume of Access tickets.</a:t>
          </a:r>
        </a:p>
        <a:p>
          <a:pPr lvl="0" algn="l"/>
          <a:endParaRPr lang="en-US" sz="1600" b="1">
            <a:solidFill>
              <a:schemeClr val="dk1"/>
            </a:solidFill>
            <a:effectLst/>
            <a:latin typeface="+mn-lt"/>
            <a:ea typeface="+mn-ea"/>
            <a:cs typeface="+mn-cs"/>
          </a:endParaRPr>
        </a:p>
        <a:p>
          <a:pPr lvl="0" algn="l"/>
          <a:r>
            <a:rPr lang="en-US" sz="1600" b="1">
              <a:solidFill>
                <a:schemeClr val="dk1"/>
              </a:solidFill>
              <a:effectLst/>
              <a:latin typeface="+mn-lt"/>
              <a:ea typeface="+mn-ea"/>
              <a:cs typeface="+mn-cs"/>
            </a:rPr>
            <a:t>2.</a:t>
          </a:r>
          <a:r>
            <a:rPr lang="en-US" sz="1600" b="1" baseline="0">
              <a:solidFill>
                <a:schemeClr val="dk1"/>
              </a:solidFill>
              <a:effectLst/>
              <a:latin typeface="+mn-lt"/>
              <a:ea typeface="+mn-ea"/>
              <a:cs typeface="+mn-cs"/>
            </a:rPr>
            <a:t> Thorough training should be given to analysts about documentation and easy resolution to reduce average resolution time so that more tickets can be handled.</a:t>
          </a:r>
        </a:p>
        <a:p>
          <a:pPr lvl="0" algn="l"/>
          <a:endParaRPr lang="en-US" sz="1600" b="1" baseline="0">
            <a:solidFill>
              <a:schemeClr val="dk1"/>
            </a:solidFill>
            <a:effectLst/>
            <a:latin typeface="+mn-lt"/>
            <a:ea typeface="+mn-ea"/>
            <a:cs typeface="+mn-cs"/>
          </a:endParaRPr>
        </a:p>
        <a:p>
          <a:pPr lvl="0" algn="l"/>
          <a:r>
            <a:rPr lang="en-US" sz="1600" b="1" baseline="0">
              <a:solidFill>
                <a:schemeClr val="dk1"/>
              </a:solidFill>
              <a:effectLst/>
              <a:latin typeface="+mn-lt"/>
              <a:ea typeface="+mn-ea"/>
              <a:cs typeface="+mn-cs"/>
            </a:rPr>
            <a:t>3. Customer awareness should be created through IVR for issues like "no internet issues"</a:t>
          </a:r>
        </a:p>
        <a:p>
          <a:pPr lvl="0" algn="l"/>
          <a:endParaRPr lang="en-US" sz="1600" b="1" baseline="0">
            <a:solidFill>
              <a:schemeClr val="dk1"/>
            </a:solidFill>
            <a:effectLst/>
            <a:latin typeface="+mn-lt"/>
            <a:ea typeface="+mn-ea"/>
            <a:cs typeface="+mn-cs"/>
          </a:endParaRPr>
        </a:p>
        <a:p>
          <a:pPr lvl="0" algn="l"/>
          <a:r>
            <a:rPr lang="en-US" sz="1600" b="1" baseline="0">
              <a:solidFill>
                <a:schemeClr val="dk1"/>
              </a:solidFill>
              <a:effectLst/>
              <a:latin typeface="+mn-lt"/>
              <a:ea typeface="+mn-ea"/>
              <a:cs typeface="+mn-cs"/>
            </a:rPr>
            <a:t>4. Deriving easy resolution for the most repeated issues</a:t>
          </a:r>
          <a:endParaRPr lang="en-US" sz="1600" b="1">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IBABU" refreshedDate="46101.677757754631" createdVersion="6" refreshedVersion="6" minRefreshableVersion="3" recordCount="150">
  <cacheSource type="worksheet">
    <worksheetSource name="help_desk_tickets3"/>
  </cacheSource>
  <cacheFields count="8">
    <cacheField name="ticket_id" numFmtId="0">
      <sharedItems/>
    </cacheField>
    <cacheField name="submission_date" numFmtId="164">
      <sharedItems/>
    </cacheField>
    <cacheField name="resolution_date" numFmtId="164">
      <sharedItems/>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1" numFmtId="0">
      <sharedItems/>
    </cacheField>
    <cacheField name="priority" numFmtId="0">
      <sharedItems count="4">
        <s v="High"/>
        <s v="Medium"/>
        <s v="Low"/>
        <s v="Critical"/>
      </sharedItems>
    </cacheField>
    <cacheField name="resolution time" numFmtId="45">
      <sharedItems containsSemiMixedTypes="0" containsNonDate="0" containsDate="1" containsString="0" minDate="1899-12-30T00:00:07" maxDate="1899-12-30T00:56: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s v="TICKET-1000"/>
    <s v="36:16.0"/>
    <s v="46:40.6"/>
    <x v="0"/>
    <x v="0"/>
    <s v="Not Available"/>
    <x v="0"/>
    <d v="1899-12-30T00:10:25"/>
  </r>
  <r>
    <s v="TICKET-1001"/>
    <s v="27:59.0"/>
    <s v="18:05.7"/>
    <x v="1"/>
    <x v="1"/>
    <s v="Application X is crashing every time I open it"/>
    <x v="1"/>
    <d v="1899-12-30T00:09:53"/>
  </r>
  <r>
    <s v="TICKET-1002"/>
    <s v="32:02.5"/>
    <s v="50:36.5"/>
    <x v="0"/>
    <x v="2"/>
    <s v="Not Available"/>
    <x v="1"/>
    <d v="1899-12-30T00:18:34"/>
  </r>
  <r>
    <s v="TICKET-1003"/>
    <s v="47:34.0"/>
    <s v="38:19.3"/>
    <x v="2"/>
    <x v="3"/>
    <s v="My laptop's keyboard isn't working properly, some keys are stuck"/>
    <x v="0"/>
    <d v="1899-12-30T00:09:15"/>
  </r>
  <r>
    <s v="TICKET-1004"/>
    <s v="46:08.6"/>
    <s v="53:07.2"/>
    <x v="1"/>
    <x v="4"/>
    <s v="Application X is crashing every time I open it"/>
    <x v="0"/>
    <d v="1899-12-30T00:06:59"/>
  </r>
  <r>
    <s v="TICKET-1005"/>
    <s v="32:40.3"/>
    <s v="52:41.6"/>
    <x v="1"/>
    <x v="2"/>
    <s v="Application X is crashing every time I open it"/>
    <x v="2"/>
    <d v="1899-12-30T00:20:01"/>
  </r>
  <r>
    <s v="TICKET-1006"/>
    <s v="38:15.7"/>
    <s v="11:49.5"/>
    <x v="3"/>
    <x v="5"/>
    <s v="I'm locked out of my account and can't reset my password"/>
    <x v="2"/>
    <d v="1899-12-30T00:26:26"/>
  </r>
  <r>
    <s v="TICKET-1007"/>
    <s v="43:28.0"/>
    <s v="26:19.5"/>
    <x v="1"/>
    <x v="6"/>
    <s v="Application X is crashing every time I open it"/>
    <x v="2"/>
    <d v="1899-12-30T00:17:09"/>
  </r>
  <r>
    <s v="TICKET-1008"/>
    <s v="41:13.6"/>
    <s v="04:28.1"/>
    <x v="2"/>
    <x v="6"/>
    <s v="My laptop's keyboard isn't working properly, some keys are stuck"/>
    <x v="1"/>
    <d v="1899-12-30T00:36:45"/>
  </r>
  <r>
    <s v="TICKET-1009"/>
    <s v="49:32.8"/>
    <s v="58:37.1"/>
    <x v="1"/>
    <x v="2"/>
    <s v="Application X is crashing every time I open it"/>
    <x v="1"/>
    <d v="1899-12-30T00:09:04"/>
  </r>
  <r>
    <s v="TICKET-1010"/>
    <s v="20:01.8"/>
    <s v="28:31.4"/>
    <x v="1"/>
    <x v="7"/>
    <s v="Application X is crashing every time I open it"/>
    <x v="2"/>
    <d v="1899-12-30T00:08:30"/>
  </r>
  <r>
    <s v="TICKET-1011"/>
    <s v="56:18.7"/>
    <s v="46:32.7"/>
    <x v="4"/>
    <x v="8"/>
    <s v="Can't connect to the Wi-Fi.It shows &quot;no internet access&quot;"/>
    <x v="0"/>
    <d v="1899-12-30T00:09:46"/>
  </r>
  <r>
    <s v="TICKET-1012"/>
    <s v="51:47.1"/>
    <s v="58:41.2"/>
    <x v="4"/>
    <x v="0"/>
    <s v="Can't connect to the Wi-Fi.It shows &quot;no internet access&quot;"/>
    <x v="1"/>
    <d v="1899-12-30T00:06:54"/>
  </r>
  <r>
    <s v="TICKET-1013"/>
    <s v="08:53.6"/>
    <s v="54:43.8"/>
    <x v="1"/>
    <x v="6"/>
    <s v="Application X is crashing every time I open it"/>
    <x v="2"/>
    <d v="1899-12-30T00:45:50"/>
  </r>
  <r>
    <s v="TICKET-1014"/>
    <s v="32:58.1"/>
    <s v="11:31.8"/>
    <x v="1"/>
    <x v="1"/>
    <s v="Application X is crashing every time I open it"/>
    <x v="0"/>
    <d v="1899-12-30T00:21:26"/>
  </r>
  <r>
    <s v="TICKET-1015"/>
    <s v="34:10.8"/>
    <s v="20:01.5"/>
    <x v="1"/>
    <x v="9"/>
    <s v="Application X is crashing every time I open it"/>
    <x v="0"/>
    <d v="1899-12-30T00:14:09"/>
  </r>
  <r>
    <s v="TICKET-1016"/>
    <s v="52:05.2"/>
    <s v="18:52.9"/>
    <x v="1"/>
    <x v="6"/>
    <s v="Application X is crashing every time I open it"/>
    <x v="2"/>
    <d v="1899-12-30T00:33:12"/>
  </r>
  <r>
    <s v="TICKET-1017"/>
    <s v="42:13.7"/>
    <s v="37:18.5"/>
    <x v="5"/>
    <x v="0"/>
    <s v="Not Available"/>
    <x v="2"/>
    <d v="1899-12-30T00:04:55"/>
  </r>
  <r>
    <s v="TICKET-1018"/>
    <s v="03:04.4"/>
    <s v="48:25.1"/>
    <x v="4"/>
    <x v="3"/>
    <s v="Can't connect to the Wi-Fi.It shows &quot;no internet access&quot;"/>
    <x v="2"/>
    <d v="1899-12-30T00:45:21"/>
  </r>
  <r>
    <s v="TICKET-1019"/>
    <s v="27:15.1"/>
    <s v="58:38.6"/>
    <x v="2"/>
    <x v="3"/>
    <s v="My laptop's keyboard isn't working properly, some keys are stuck"/>
    <x v="1"/>
    <d v="1899-12-30T00:31:24"/>
  </r>
  <r>
    <s v="TICKET-1020"/>
    <s v="49:37.6"/>
    <s v="06:40.2"/>
    <x v="1"/>
    <x v="1"/>
    <s v="Application X is crashing every time I open it"/>
    <x v="1"/>
    <d v="1899-12-30T00:42:57"/>
  </r>
  <r>
    <s v="TICKET-1021"/>
    <s v="34:56.8"/>
    <s v="25:12.4"/>
    <x v="1"/>
    <x v="0"/>
    <s v="Application X is crashing every time I open it"/>
    <x v="1"/>
    <d v="1899-12-30T00:09:44"/>
  </r>
  <r>
    <s v="TICKET-1022"/>
    <s v="29:45.6"/>
    <s v="34:14.3"/>
    <x v="1"/>
    <x v="7"/>
    <s v="Application X is crashing every time I open it"/>
    <x v="1"/>
    <d v="1899-12-30T00:04:29"/>
  </r>
  <r>
    <s v="TICKET-1023"/>
    <s v="27:52.7"/>
    <s v="23:44.7"/>
    <x v="1"/>
    <x v="4"/>
    <s v="Application X is crashing every time I open it"/>
    <x v="1"/>
    <d v="1899-12-30T00:04:08"/>
  </r>
  <r>
    <s v="TICKET-1024"/>
    <s v="37:37.2"/>
    <s v="42:35.1"/>
    <x v="4"/>
    <x v="3"/>
    <s v="Can't connect to the Wi-Fi.It shows &quot;no internet access&quot;"/>
    <x v="2"/>
    <d v="1899-12-30T00:04:58"/>
  </r>
  <r>
    <s v="TICKET-1025"/>
    <s v="42:49.8"/>
    <s v="35:58.9"/>
    <x v="1"/>
    <x v="1"/>
    <s v="Application X is crashing every time I open it"/>
    <x v="1"/>
    <d v="1899-12-30T00:06:51"/>
  </r>
  <r>
    <s v="TICKET-1026"/>
    <s v="26:51.3"/>
    <s v="14:52.0"/>
    <x v="4"/>
    <x v="4"/>
    <s v="Can't connect to the Wi-Fi.It shows &quot;no internet access&quot;"/>
    <x v="0"/>
    <d v="1899-12-30T00:11:59"/>
  </r>
  <r>
    <s v="TICKET-1027"/>
    <s v="29:05.4"/>
    <s v="15:13.9"/>
    <x v="6"/>
    <x v="1"/>
    <s v="Not Available"/>
    <x v="1"/>
    <d v="1899-12-30T00:13:51"/>
  </r>
  <r>
    <s v="TICKET-1028"/>
    <s v="02:57.2"/>
    <s v="57:17.8"/>
    <x v="0"/>
    <x v="0"/>
    <s v="Not Available"/>
    <x v="2"/>
    <d v="1899-12-30T00:54:21"/>
  </r>
  <r>
    <s v="TICKET-1029"/>
    <s v="57:13.1"/>
    <s v="38:56.9"/>
    <x v="1"/>
    <x v="2"/>
    <s v="Application X is crashing every time I open it"/>
    <x v="1"/>
    <d v="1899-12-30T00:18:16"/>
  </r>
  <r>
    <s v="TICKET-1030"/>
    <s v="17:04.5"/>
    <s v="38:11.1"/>
    <x v="4"/>
    <x v="2"/>
    <s v="Can't connect to the Wi-Fi.It shows &quot;no internet access&quot;"/>
    <x v="2"/>
    <d v="1899-12-30T00:21:07"/>
  </r>
  <r>
    <s v="TICKET-1031"/>
    <s v="58:57.6"/>
    <s v="35:19.1"/>
    <x v="1"/>
    <x v="1"/>
    <s v="Application X is crashing every time I open it"/>
    <x v="0"/>
    <d v="1899-12-30T00:23:38"/>
  </r>
  <r>
    <s v="TICKET-1032"/>
    <s v="10:38.7"/>
    <s v="40:37.8"/>
    <x v="4"/>
    <x v="6"/>
    <s v="Can't connect to the Wi-Fi.It shows &quot;no internet access&quot;"/>
    <x v="2"/>
    <d v="1899-12-30T00:29:59"/>
  </r>
  <r>
    <s v="TICKET-1033"/>
    <s v="33:02.6"/>
    <s v="28:47.1"/>
    <x v="6"/>
    <x v="5"/>
    <s v="Not Available"/>
    <x v="2"/>
    <d v="1899-12-30T00:04:15"/>
  </r>
  <r>
    <s v="TICKET-1034"/>
    <s v="06:08.3"/>
    <s v="43:20.9"/>
    <x v="1"/>
    <x v="4"/>
    <s v="Application X is crashing every time I open it"/>
    <x v="2"/>
    <d v="1899-12-30T00:37:13"/>
  </r>
  <r>
    <s v="TICKET-1035"/>
    <s v="48:02.8"/>
    <s v="36:47.0"/>
    <x v="2"/>
    <x v="1"/>
    <s v="My laptop's keyboard isn't working properly, some keys are stuck"/>
    <x v="2"/>
    <d v="1899-12-30T00:11:16"/>
  </r>
  <r>
    <s v="TICKET-1036"/>
    <s v="46:26.0"/>
    <s v="18:49.2"/>
    <x v="1"/>
    <x v="8"/>
    <s v="Application X is crashing every time I open it"/>
    <x v="2"/>
    <d v="1899-12-30T00:27:37"/>
  </r>
  <r>
    <s v="TICKET-1037"/>
    <s v="56:35.9"/>
    <s v="07:19.1"/>
    <x v="0"/>
    <x v="7"/>
    <s v="Not Available"/>
    <x v="2"/>
    <d v="1899-12-30T00:49:17"/>
  </r>
  <r>
    <s v="TICKET-1038"/>
    <s v="20:12.1"/>
    <s v="43:04.2"/>
    <x v="1"/>
    <x v="5"/>
    <s v="Application X is crashing every time I open it"/>
    <x v="1"/>
    <d v="1899-12-30T00:22:52"/>
  </r>
  <r>
    <s v="TICKET-1039"/>
    <s v="30:07.1"/>
    <s v="44:18.5"/>
    <x v="3"/>
    <x v="6"/>
    <s v="I'm locked out of my account and can't reset my password"/>
    <x v="1"/>
    <d v="1899-12-30T00:14:11"/>
  </r>
  <r>
    <s v="TICKET-1040"/>
    <s v="49:38.7"/>
    <s v="59:27.2"/>
    <x v="4"/>
    <x v="0"/>
    <s v="Can't connect to the Wi-Fi.It shows &quot;no internet access&quot;"/>
    <x v="1"/>
    <d v="1899-12-30T00:09:48"/>
  </r>
  <r>
    <s v="TICKET-1041"/>
    <s v="26:29.8"/>
    <s v="22:39.0"/>
    <x v="2"/>
    <x v="1"/>
    <s v="My laptop's keyboard isn't working properly, some keys are stuck"/>
    <x v="2"/>
    <d v="1899-12-30T00:03:51"/>
  </r>
  <r>
    <s v="TICKET-1042"/>
    <s v="42:23.9"/>
    <s v="00:26.8"/>
    <x v="6"/>
    <x v="9"/>
    <s v="Not Available"/>
    <x v="2"/>
    <d v="1899-12-30T00:41:57"/>
  </r>
  <r>
    <s v="TICKET-1043"/>
    <s v="37:32.6"/>
    <s v="09:44.3"/>
    <x v="1"/>
    <x v="6"/>
    <s v="Application X is crashing every time I open it"/>
    <x v="3"/>
    <d v="1899-12-30T00:27:48"/>
  </r>
  <r>
    <s v="TICKET-1044"/>
    <s v="02:33.0"/>
    <s v="10:24.2"/>
    <x v="2"/>
    <x v="5"/>
    <s v="My laptop's keyboard isn't working properly, some keys are stuck"/>
    <x v="0"/>
    <d v="1899-12-30T00:07:51"/>
  </r>
  <r>
    <s v="TICKET-1045"/>
    <s v="41:53.8"/>
    <s v="04:57.0"/>
    <x v="1"/>
    <x v="1"/>
    <s v="Application X is crashing every time I open it"/>
    <x v="0"/>
    <d v="1899-12-30T00:36:57"/>
  </r>
  <r>
    <s v="TICKET-1046"/>
    <s v="43:05.7"/>
    <s v="41:58.8"/>
    <x v="4"/>
    <x v="4"/>
    <s v="Can't connect to the Wi-Fi.It shows &quot;no internet access&quot;"/>
    <x v="1"/>
    <d v="1899-12-30T00:01:07"/>
  </r>
  <r>
    <s v="TICKET-1047"/>
    <s v="23:40.6"/>
    <s v="57:19.4"/>
    <x v="3"/>
    <x v="1"/>
    <s v="I'm locked out of my account and can't reset my password"/>
    <x v="2"/>
    <d v="1899-12-30T00:33:39"/>
  </r>
  <r>
    <s v="TICKET-1048"/>
    <s v="12:43.2"/>
    <s v="39:54.5"/>
    <x v="4"/>
    <x v="1"/>
    <s v="Can't connect to the Wi-Fi.It shows &quot;no internet access&quot;"/>
    <x v="1"/>
    <d v="1899-12-30T00:27:11"/>
  </r>
  <r>
    <s v="TICKET-1049"/>
    <s v="51:19.2"/>
    <s v="32:45.8"/>
    <x v="4"/>
    <x v="1"/>
    <s v="Can't connect to the Wi-Fi.It shows &quot;no internet access&quot;"/>
    <x v="1"/>
    <d v="1899-12-30T00:18:33"/>
  </r>
  <r>
    <s v="TICKET-1050"/>
    <s v="22:42.1"/>
    <s v="09:54.0"/>
    <x v="0"/>
    <x v="3"/>
    <s v="Not Available"/>
    <x v="2"/>
    <d v="1899-12-30T00:12:48"/>
  </r>
  <r>
    <s v="TICKET-1051"/>
    <s v="51:43.5"/>
    <s v="25:05.8"/>
    <x v="1"/>
    <x v="1"/>
    <s v="Application X is crashing every time I open it"/>
    <x v="2"/>
    <d v="1899-12-30T00:26:38"/>
  </r>
  <r>
    <s v="TICKET-1052"/>
    <s v="21:49.7"/>
    <s v="27:45.9"/>
    <x v="1"/>
    <x v="3"/>
    <s v="Application X is crashing every time I open it"/>
    <x v="1"/>
    <d v="1899-12-30T00:05:56"/>
  </r>
  <r>
    <s v="TICKET-1053"/>
    <s v="41:48.5"/>
    <s v="53:38.8"/>
    <x v="1"/>
    <x v="1"/>
    <s v="Application X is crashing every time I open it"/>
    <x v="1"/>
    <d v="1899-12-30T00:11:50"/>
  </r>
  <r>
    <s v="TICKET-1054"/>
    <s v="00:06.2"/>
    <s v="03:09.6"/>
    <x v="4"/>
    <x v="2"/>
    <s v="Can't connect to the Wi-Fi.It shows &quot;no internet access&quot;"/>
    <x v="0"/>
    <d v="1899-12-30T00:03:03"/>
  </r>
  <r>
    <s v="TICKET-1055"/>
    <s v="06:48.3"/>
    <s v="47:48.2"/>
    <x v="3"/>
    <x v="1"/>
    <s v="I'm locked out of my account and can't reset my password"/>
    <x v="1"/>
    <d v="1899-12-30T00:41:00"/>
  </r>
  <r>
    <s v="TICKET-1056"/>
    <s v="52:12.7"/>
    <s v="28:33.5"/>
    <x v="0"/>
    <x v="3"/>
    <s v="Not Available"/>
    <x v="1"/>
    <d v="1899-12-30T00:23:39"/>
  </r>
  <r>
    <s v="TICKET-1057"/>
    <s v="29:34.6"/>
    <s v="48:57.6"/>
    <x v="5"/>
    <x v="6"/>
    <s v="Not Available"/>
    <x v="2"/>
    <d v="1899-12-30T00:19:23"/>
  </r>
  <r>
    <s v="TICKET-1058"/>
    <s v="42:50.7"/>
    <s v="16:37.0"/>
    <x v="0"/>
    <x v="6"/>
    <s v="Not Available"/>
    <x v="1"/>
    <d v="1899-12-30T00:26:14"/>
  </r>
  <r>
    <s v="TICKET-1059"/>
    <s v="37:43.4"/>
    <s v="17:59.0"/>
    <x v="1"/>
    <x v="5"/>
    <s v="Application X is crashing every time I open it"/>
    <x v="1"/>
    <d v="1899-12-30T00:19:44"/>
  </r>
  <r>
    <s v="TICKET-1060"/>
    <s v="05:38.0"/>
    <s v="49:50.2"/>
    <x v="2"/>
    <x v="3"/>
    <s v="My laptop's keyboard isn't working properly, some keys are stuck"/>
    <x v="1"/>
    <d v="1899-12-30T00:44:12"/>
  </r>
  <r>
    <s v="TICKET-1061"/>
    <s v="19:38.3"/>
    <s v="03:29.2"/>
    <x v="1"/>
    <x v="0"/>
    <s v="Application X is crashing every time I open it"/>
    <x v="1"/>
    <d v="1899-12-30T00:16:09"/>
  </r>
  <r>
    <s v="TICKET-1062"/>
    <s v="39:40.2"/>
    <s v="21:42.6"/>
    <x v="1"/>
    <x v="7"/>
    <s v="Application X is crashing every time I open it"/>
    <x v="1"/>
    <d v="1899-12-30T00:17:58"/>
  </r>
  <r>
    <s v="TICKET-1063"/>
    <s v="57:08.9"/>
    <s v="55:36.6"/>
    <x v="3"/>
    <x v="7"/>
    <s v="I'm locked out of my account and can't reset my password"/>
    <x v="0"/>
    <d v="1899-12-30T00:01:32"/>
  </r>
  <r>
    <s v="TICKET-1064"/>
    <s v="58:12.3"/>
    <s v="01:55.5"/>
    <x v="3"/>
    <x v="4"/>
    <s v="I'm locked out of my account and can't reset my password"/>
    <x v="1"/>
    <d v="1899-12-30T00:56:17"/>
  </r>
  <r>
    <s v="TICKET-1065"/>
    <s v="11:15.5"/>
    <s v="55:36.2"/>
    <x v="4"/>
    <x v="0"/>
    <s v="Can't connect to the Wi-Fi.It shows &quot;no internet access&quot;"/>
    <x v="1"/>
    <d v="1899-12-30T00:44:21"/>
  </r>
  <r>
    <s v="TICKET-1066"/>
    <s v="21:57.6"/>
    <s v="05:28.3"/>
    <x v="2"/>
    <x v="2"/>
    <s v="My laptop's keyboard isn't working properly, some keys are stuck"/>
    <x v="2"/>
    <d v="1899-12-30T00:16:29"/>
  </r>
  <r>
    <s v="TICKET-1067"/>
    <s v="18:18.9"/>
    <s v="03:00.3"/>
    <x v="4"/>
    <x v="7"/>
    <s v="Can't connect to the Wi-Fi.It shows &quot;no internet access&quot;"/>
    <x v="1"/>
    <d v="1899-12-30T00:15:19"/>
  </r>
  <r>
    <s v="TICKET-1068"/>
    <s v="46:49.5"/>
    <s v="16:59.4"/>
    <x v="1"/>
    <x v="5"/>
    <s v="Application X is crashing every time I open it"/>
    <x v="2"/>
    <d v="1899-12-30T00:29:50"/>
  </r>
  <r>
    <s v="TICKET-1069"/>
    <s v="30:29.1"/>
    <s v="37:01.3"/>
    <x v="1"/>
    <x v="4"/>
    <s v="Application X is crashing every time I open it"/>
    <x v="1"/>
    <d v="1899-12-30T00:06:32"/>
  </r>
  <r>
    <s v="TICKET-1070"/>
    <s v="58:20.7"/>
    <s v="11:23.6"/>
    <x v="2"/>
    <x v="7"/>
    <s v="My laptop's keyboard isn't working properly, some keys are stuck"/>
    <x v="3"/>
    <d v="1899-12-30T00:46:57"/>
  </r>
  <r>
    <s v="TICKET-1071"/>
    <s v="55:26.6"/>
    <s v="58:25.7"/>
    <x v="1"/>
    <x v="2"/>
    <s v="Application X is crashing every time I open it"/>
    <x v="1"/>
    <d v="1899-12-30T00:02:59"/>
  </r>
  <r>
    <s v="TICKET-1072"/>
    <s v="42:24.2"/>
    <s v="32:31.3"/>
    <x v="4"/>
    <x v="7"/>
    <s v="Can't connect to the Wi-Fi.It shows &quot;no internet access&quot;"/>
    <x v="1"/>
    <d v="1899-12-30T00:09:53"/>
  </r>
  <r>
    <s v="TICKET-1073"/>
    <s v="34:13.4"/>
    <s v="40:48.7"/>
    <x v="0"/>
    <x v="8"/>
    <s v="Not Available"/>
    <x v="0"/>
    <d v="1899-12-30T00:06:35"/>
  </r>
  <r>
    <s v="TICKET-1074"/>
    <s v="17:56.4"/>
    <s v="19:46.3"/>
    <x v="5"/>
    <x v="1"/>
    <s v="Not Available"/>
    <x v="2"/>
    <d v="1899-12-30T00:01:50"/>
  </r>
  <r>
    <s v="TICKET-1075"/>
    <s v="48:14.3"/>
    <s v="40:58.0"/>
    <x v="0"/>
    <x v="7"/>
    <s v="Not Available"/>
    <x v="0"/>
    <d v="1899-12-30T00:07:16"/>
  </r>
  <r>
    <s v="TICKET-1076"/>
    <s v="31:23.4"/>
    <s v="11:12.3"/>
    <x v="1"/>
    <x v="1"/>
    <s v="Application X is crashing every time I open it"/>
    <x v="0"/>
    <d v="1899-12-30T00:20:11"/>
  </r>
  <r>
    <s v="TICKET-1077"/>
    <s v="42:37.8"/>
    <s v="40:18.0"/>
    <x v="5"/>
    <x v="5"/>
    <s v="Not Available"/>
    <x v="0"/>
    <d v="1899-12-30T00:02:20"/>
  </r>
  <r>
    <s v="TICKET-1078"/>
    <s v="59:03.6"/>
    <s v="29:42.6"/>
    <x v="1"/>
    <x v="1"/>
    <s v="Application X is crashing every time I open it"/>
    <x v="2"/>
    <d v="1899-12-30T00:29:21"/>
  </r>
  <r>
    <s v="TICKET-1079"/>
    <s v="58:34.5"/>
    <s v="08:24.7"/>
    <x v="4"/>
    <x v="1"/>
    <s v="Can't connect to the Wi-Fi.It shows &quot;no internet access&quot;"/>
    <x v="2"/>
    <d v="1899-12-30T00:50:10"/>
  </r>
  <r>
    <s v="TICKET-1080"/>
    <s v="43:34.7"/>
    <s v="32:38.3"/>
    <x v="1"/>
    <x v="6"/>
    <s v="Application X is crashing every time I open it"/>
    <x v="2"/>
    <d v="1899-12-30T00:10:56"/>
  </r>
  <r>
    <s v="TICKET-1081"/>
    <s v="50:44.9"/>
    <s v="00:37.6"/>
    <x v="3"/>
    <x v="3"/>
    <s v="I'm locked out of my account and can't reset my password"/>
    <x v="2"/>
    <d v="1899-12-30T00:50:07"/>
  </r>
  <r>
    <s v="TICKET-1082"/>
    <s v="17:27.2"/>
    <s v="21:17.7"/>
    <x v="1"/>
    <x v="1"/>
    <s v="Application X is crashing every time I open it"/>
    <x v="1"/>
    <d v="1899-12-30T00:03:51"/>
  </r>
  <r>
    <s v="TICKET-1083"/>
    <s v="49:11.9"/>
    <s v="26:15.4"/>
    <x v="6"/>
    <x v="4"/>
    <s v="Not Available"/>
    <x v="2"/>
    <d v="1899-12-30T00:22:56"/>
  </r>
  <r>
    <s v="TICKET-1084"/>
    <s v="09:04.0"/>
    <s v="20:43.2"/>
    <x v="2"/>
    <x v="9"/>
    <s v="My laptop's keyboard isn't working properly, some keys are stuck"/>
    <x v="2"/>
    <d v="1899-12-30T00:11:39"/>
  </r>
  <r>
    <s v="TICKET-1085"/>
    <s v="23:33.7"/>
    <s v="08:10.3"/>
    <x v="3"/>
    <x v="5"/>
    <s v="I'm locked out of my account and can't reset my password"/>
    <x v="0"/>
    <d v="1899-12-30T00:15:23"/>
  </r>
  <r>
    <s v="TICKET-1086"/>
    <s v="18:39.5"/>
    <s v="37:10.8"/>
    <x v="1"/>
    <x v="7"/>
    <s v="Application X is crashing every time I open it"/>
    <x v="1"/>
    <d v="1899-12-30T00:18:31"/>
  </r>
  <r>
    <s v="TICKET-1087"/>
    <s v="11:22.7"/>
    <s v="12:02.0"/>
    <x v="2"/>
    <x v="2"/>
    <s v="My laptop's keyboard isn't working properly, some keys are stuck"/>
    <x v="1"/>
    <d v="1899-12-30T00:00:39"/>
  </r>
  <r>
    <s v="TICKET-1088"/>
    <s v="58:40.4"/>
    <s v="31:58.9"/>
    <x v="1"/>
    <x v="5"/>
    <s v="Application X is crashing every time I open it"/>
    <x v="1"/>
    <d v="1899-12-30T00:26:41"/>
  </r>
  <r>
    <s v="TICKET-1089"/>
    <s v="20:46.4"/>
    <s v="21:32.3"/>
    <x v="1"/>
    <x v="5"/>
    <s v="Application X is crashing every time I open it"/>
    <x v="2"/>
    <d v="1899-12-30T00:00:46"/>
  </r>
  <r>
    <s v="TICKET-1090"/>
    <s v="04:37.0"/>
    <s v="22:20.1"/>
    <x v="1"/>
    <x v="0"/>
    <s v="Application X is crashing every time I open it"/>
    <x v="1"/>
    <d v="1899-12-30T00:17:43"/>
  </r>
  <r>
    <s v="TICKET-1091"/>
    <s v="36:43.3"/>
    <s v="09:00.6"/>
    <x v="1"/>
    <x v="5"/>
    <s v="Application X is crashing every time I open it"/>
    <x v="2"/>
    <d v="1899-12-30T00:27:43"/>
  </r>
  <r>
    <s v="TICKET-1092"/>
    <s v="26:09.7"/>
    <s v="49:37.3"/>
    <x v="4"/>
    <x v="3"/>
    <s v="Can't connect to the Wi-Fi.It shows &quot;no internet access&quot;"/>
    <x v="1"/>
    <d v="1899-12-30T00:23:28"/>
  </r>
  <r>
    <s v="TICKET-1093"/>
    <s v="27:43.2"/>
    <s v="08:51.7"/>
    <x v="0"/>
    <x v="3"/>
    <s v="Not Available"/>
    <x v="2"/>
    <d v="1899-12-30T00:18:51"/>
  </r>
  <r>
    <s v="TICKET-1094"/>
    <s v="06:41.2"/>
    <s v="43:14.5"/>
    <x v="3"/>
    <x v="7"/>
    <s v="I'm locked out of my account and can't reset my password"/>
    <x v="2"/>
    <d v="1899-12-30T00:36:33"/>
  </r>
  <r>
    <s v="TICKET-1095"/>
    <s v="47:28.5"/>
    <s v="49:20.2"/>
    <x v="0"/>
    <x v="0"/>
    <s v="Not Available"/>
    <x v="1"/>
    <d v="1899-12-30T00:01:52"/>
  </r>
  <r>
    <s v="TICKET-1096"/>
    <s v="49:44.8"/>
    <s v="34:19.6"/>
    <x v="3"/>
    <x v="4"/>
    <s v="I'm locked out of my account and can't reset my password"/>
    <x v="2"/>
    <d v="1899-12-30T00:15:25"/>
  </r>
  <r>
    <s v="TICKET-1097"/>
    <s v="16:19.3"/>
    <s v="28:58.6"/>
    <x v="2"/>
    <x v="5"/>
    <s v="My laptop's keyboard isn't working properly, some keys are stuck"/>
    <x v="2"/>
    <d v="1899-12-30T00:12:39"/>
  </r>
  <r>
    <s v="TICKET-1098"/>
    <s v="22:48.2"/>
    <s v="26:30.2"/>
    <x v="1"/>
    <x v="1"/>
    <s v="Application X is crashing every time I open it"/>
    <x v="0"/>
    <d v="1899-12-30T00:03:42"/>
  </r>
  <r>
    <s v="TICKET-1099"/>
    <s v="15:23.4"/>
    <s v="04:04.2"/>
    <x v="2"/>
    <x v="4"/>
    <s v="My laptop's keyboard isn't working properly, some keys are stuck"/>
    <x v="1"/>
    <d v="1899-12-30T00:11:19"/>
  </r>
  <r>
    <s v="TICKET-1100"/>
    <s v="13:43.6"/>
    <s v="17:50.3"/>
    <x v="1"/>
    <x v="5"/>
    <s v="Application X is crashing every time I open it"/>
    <x v="3"/>
    <d v="1899-12-30T00:04:07"/>
  </r>
  <r>
    <s v="TICKET-1101"/>
    <s v="55:10.6"/>
    <s v="31:29.8"/>
    <x v="1"/>
    <x v="7"/>
    <s v="Application X is crashing every time I open it"/>
    <x v="1"/>
    <d v="1899-12-30T00:23:41"/>
  </r>
  <r>
    <s v="TICKET-1102"/>
    <s v="49:20.1"/>
    <s v="20:43.2"/>
    <x v="0"/>
    <x v="5"/>
    <s v="Not Available"/>
    <x v="2"/>
    <d v="1899-12-30T00:28:37"/>
  </r>
  <r>
    <s v="TICKET-1103"/>
    <s v="36:02.8"/>
    <s v="59:45.0"/>
    <x v="1"/>
    <x v="9"/>
    <s v="Application X is crashing every time I open it"/>
    <x v="1"/>
    <d v="1899-12-30T00:23:42"/>
  </r>
  <r>
    <s v="TICKET-1104"/>
    <s v="19:01.3"/>
    <s v="36:27.3"/>
    <x v="6"/>
    <x v="9"/>
    <s v="Not Available"/>
    <x v="0"/>
    <d v="1899-12-30T00:17:26"/>
  </r>
  <r>
    <s v="TICKET-1105"/>
    <s v="45:06.2"/>
    <s v="41:23.6"/>
    <x v="4"/>
    <x v="8"/>
    <s v="Can't connect to the Wi-Fi.It shows &quot;no internet access&quot;"/>
    <x v="2"/>
    <d v="1899-12-30T00:03:43"/>
  </r>
  <r>
    <s v="TICKET-1106"/>
    <s v="18:01.7"/>
    <s v="29:37.5"/>
    <x v="6"/>
    <x v="2"/>
    <s v="Not Available"/>
    <x v="1"/>
    <d v="1899-12-30T00:11:36"/>
  </r>
  <r>
    <s v="TICKET-1107"/>
    <s v="54:11.9"/>
    <s v="11:11.4"/>
    <x v="2"/>
    <x v="1"/>
    <s v="My laptop's keyboard isn't working properly, some keys are stuck"/>
    <x v="2"/>
    <d v="1899-12-30T00:43:00"/>
  </r>
  <r>
    <s v="TICKET-1108"/>
    <s v="57:35.5"/>
    <s v="56:19.2"/>
    <x v="2"/>
    <x v="2"/>
    <s v="My laptop's keyboard isn't working properly, some keys are stuck"/>
    <x v="0"/>
    <d v="1899-12-30T00:01:16"/>
  </r>
  <r>
    <s v="TICKET-1109"/>
    <s v="24:12.7"/>
    <s v="24:35.2"/>
    <x v="1"/>
    <x v="2"/>
    <s v="Application X is crashing every time I open it"/>
    <x v="2"/>
    <d v="1899-12-30T00:00:22"/>
  </r>
  <r>
    <s v="TICKET-1110"/>
    <s v="56:23.5"/>
    <s v="35:51.3"/>
    <x v="3"/>
    <x v="7"/>
    <s v="I'm locked out of my account and can't reset my password"/>
    <x v="0"/>
    <d v="1899-12-30T00:20:32"/>
  </r>
  <r>
    <s v="TICKET-1111"/>
    <s v="29:54.6"/>
    <s v="40:12.1"/>
    <x v="1"/>
    <x v="2"/>
    <s v="Application X is crashing every time I open it"/>
    <x v="2"/>
    <d v="1899-12-30T00:10:18"/>
  </r>
  <r>
    <s v="TICKET-1112"/>
    <s v="02:11.1"/>
    <s v="40:55.6"/>
    <x v="5"/>
    <x v="1"/>
    <s v="Not Available"/>
    <x v="2"/>
    <d v="1899-12-30T00:38:44"/>
  </r>
  <r>
    <s v="TICKET-1113"/>
    <s v="19:48.1"/>
    <s v="31:35.1"/>
    <x v="2"/>
    <x v="3"/>
    <s v="My laptop's keyboard isn't working properly, some keys are stuck"/>
    <x v="0"/>
    <d v="1899-12-30T00:11:47"/>
  </r>
  <r>
    <s v="TICKET-1114"/>
    <s v="39:15.1"/>
    <s v="07:28.1"/>
    <x v="0"/>
    <x v="4"/>
    <s v="Not Available"/>
    <x v="1"/>
    <d v="1899-12-30T00:31:47"/>
  </r>
  <r>
    <s v="TICKET-1115"/>
    <s v="02:16.9"/>
    <s v="50:48.0"/>
    <x v="3"/>
    <x v="9"/>
    <s v="I'm locked out of my account and can't reset my password"/>
    <x v="2"/>
    <d v="1899-12-30T00:48:31"/>
  </r>
  <r>
    <s v="TICKET-1116"/>
    <s v="29:18.1"/>
    <s v="50:20.4"/>
    <x v="1"/>
    <x v="2"/>
    <s v="Application X is crashing every time I open it"/>
    <x v="1"/>
    <d v="1899-12-30T00:21:02"/>
  </r>
  <r>
    <s v="TICKET-1117"/>
    <s v="40:03.5"/>
    <s v="18:46.1"/>
    <x v="3"/>
    <x v="8"/>
    <s v="I'm locked out of my account and can't reset my password"/>
    <x v="1"/>
    <d v="1899-12-30T00:21:17"/>
  </r>
  <r>
    <s v="TICKET-1118"/>
    <s v="42:22.7"/>
    <s v="59:56.9"/>
    <x v="6"/>
    <x v="5"/>
    <s v="Not Available"/>
    <x v="2"/>
    <d v="1899-12-30T00:17:34"/>
  </r>
  <r>
    <s v="TICKET-1119"/>
    <s v="15:34.4"/>
    <s v="05:16.8"/>
    <x v="2"/>
    <x v="1"/>
    <s v="My laptop's keyboard isn't working properly, some keys are stuck"/>
    <x v="1"/>
    <d v="1899-12-30T00:10:18"/>
  </r>
  <r>
    <s v="TICKET-1120"/>
    <s v="02:21.5"/>
    <s v="25:23.4"/>
    <x v="0"/>
    <x v="4"/>
    <s v="Not Available"/>
    <x v="1"/>
    <d v="1899-12-30T00:23:02"/>
  </r>
  <r>
    <s v="TICKET-1121"/>
    <s v="08:29.8"/>
    <s v="31:43.2"/>
    <x v="3"/>
    <x v="7"/>
    <s v="I'm locked out of my account and can't reset my password"/>
    <x v="1"/>
    <d v="1899-12-30T00:23:13"/>
  </r>
  <r>
    <s v="TICKET-1122"/>
    <s v="50:16.7"/>
    <s v="24:47.5"/>
    <x v="1"/>
    <x v="0"/>
    <s v="Application X is crashing every time I open it"/>
    <x v="1"/>
    <d v="1899-12-30T00:25:29"/>
  </r>
  <r>
    <s v="TICKET-1123"/>
    <s v="11:31.0"/>
    <s v="06:32.7"/>
    <x v="4"/>
    <x v="1"/>
    <s v="Can't connect to the Wi-Fi.It shows &quot;no internet access&quot;"/>
    <x v="1"/>
    <d v="1899-12-30T00:04:58"/>
  </r>
  <r>
    <s v="TICKET-1124"/>
    <s v="03:58.8"/>
    <s v="46:32.7"/>
    <x v="6"/>
    <x v="9"/>
    <s v="Not Available"/>
    <x v="1"/>
    <d v="1899-12-30T00:42:34"/>
  </r>
  <r>
    <s v="TICKET-1125"/>
    <s v="27:57.5"/>
    <s v="11:22.2"/>
    <x v="6"/>
    <x v="3"/>
    <s v="Not Available"/>
    <x v="1"/>
    <d v="1899-12-30T00:16:35"/>
  </r>
  <r>
    <s v="TICKET-1126"/>
    <s v="22:42.7"/>
    <s v="04:42.2"/>
    <x v="2"/>
    <x v="5"/>
    <s v="My laptop's keyboard isn't working properly, some keys are stuck"/>
    <x v="2"/>
    <d v="1899-12-30T00:18:00"/>
  </r>
  <r>
    <s v="TICKET-1127"/>
    <s v="23:18.6"/>
    <s v="23:31.6"/>
    <x v="1"/>
    <x v="9"/>
    <s v="Application X is crashing every time I open it"/>
    <x v="2"/>
    <d v="1899-12-30T00:00:13"/>
  </r>
  <r>
    <s v="TICKET-1128"/>
    <s v="02:08.1"/>
    <s v="18:36.6"/>
    <x v="4"/>
    <x v="2"/>
    <s v="Can't connect to the Wi-Fi.It shows &quot;no internet access&quot;"/>
    <x v="0"/>
    <d v="1899-12-30T00:16:28"/>
  </r>
  <r>
    <s v="TICKET-1129"/>
    <s v="30:19.2"/>
    <s v="09:04.8"/>
    <x v="0"/>
    <x v="1"/>
    <s v="Not Available"/>
    <x v="1"/>
    <d v="1899-12-30T00:21:14"/>
  </r>
  <r>
    <s v="TICKET-1130"/>
    <s v="54:16.2"/>
    <s v="37:10.0"/>
    <x v="6"/>
    <x v="6"/>
    <s v="Not Available"/>
    <x v="2"/>
    <d v="1899-12-30T00:17:06"/>
  </r>
  <r>
    <s v="TICKET-1131"/>
    <s v="29:53.3"/>
    <s v="20:29.5"/>
    <x v="6"/>
    <x v="2"/>
    <s v="Not Available"/>
    <x v="2"/>
    <d v="1899-12-30T00:09:24"/>
  </r>
  <r>
    <s v="TICKET-1132"/>
    <s v="38:17.2"/>
    <s v="05:48.9"/>
    <x v="0"/>
    <x v="7"/>
    <s v="Not Available"/>
    <x v="2"/>
    <d v="1899-12-30T00:32:28"/>
  </r>
  <r>
    <s v="TICKET-1133"/>
    <s v="07:13.8"/>
    <s v="05:13.3"/>
    <x v="3"/>
    <x v="3"/>
    <s v="I'm locked out of my account and can't reset my password"/>
    <x v="0"/>
    <d v="1899-12-30T00:02:01"/>
  </r>
  <r>
    <s v="TICKET-1134"/>
    <s v="02:49.9"/>
    <s v="38:37.8"/>
    <x v="0"/>
    <x v="5"/>
    <s v="Not Available"/>
    <x v="2"/>
    <d v="1899-12-30T00:35:48"/>
  </r>
  <r>
    <s v="TICKET-1135"/>
    <s v="57:13.6"/>
    <s v="46:12.3"/>
    <x v="5"/>
    <x v="6"/>
    <s v="Not Available"/>
    <x v="2"/>
    <d v="1899-12-30T00:11:01"/>
  </r>
  <r>
    <s v="TICKET-1136"/>
    <s v="50:13.2"/>
    <s v="47:18.7"/>
    <x v="2"/>
    <x v="6"/>
    <s v="My laptop's keyboard isn't working properly, some keys are stuck"/>
    <x v="2"/>
    <d v="1899-12-30T00:02:54"/>
  </r>
  <r>
    <s v="TICKET-1137"/>
    <s v="14:35.4"/>
    <s v="16:50.9"/>
    <x v="2"/>
    <x v="1"/>
    <s v="My laptop's keyboard isn't working properly, some keys are stuck"/>
    <x v="2"/>
    <d v="1899-12-30T00:02:15"/>
  </r>
  <r>
    <s v="TICKET-1138"/>
    <s v="22:45.6"/>
    <s v="41:10.4"/>
    <x v="1"/>
    <x v="0"/>
    <s v="Application X is crashing every time I open it"/>
    <x v="1"/>
    <d v="1899-12-30T00:18:25"/>
  </r>
  <r>
    <s v="TICKET-1139"/>
    <s v="38:53.3"/>
    <s v="24:42.7"/>
    <x v="4"/>
    <x v="6"/>
    <s v="Can't connect to the Wi-Fi.It shows &quot;no internet access&quot;"/>
    <x v="2"/>
    <d v="1899-12-30T00:14:11"/>
  </r>
  <r>
    <s v="TICKET-1140"/>
    <s v="58:01.8"/>
    <s v="50:40.8"/>
    <x v="2"/>
    <x v="8"/>
    <s v="My laptop's keyboard isn't working properly, some keys are stuck"/>
    <x v="1"/>
    <d v="1899-12-30T00:07:21"/>
  </r>
  <r>
    <s v="TICKET-1141"/>
    <s v="22:03.1"/>
    <s v="14:09.7"/>
    <x v="2"/>
    <x v="0"/>
    <s v="My laptop's keyboard isn't working properly, some keys are stuck"/>
    <x v="1"/>
    <d v="1899-12-30T00:07:53"/>
  </r>
  <r>
    <s v="TICKET-1142"/>
    <s v="20:39.4"/>
    <s v="34:39.4"/>
    <x v="4"/>
    <x v="4"/>
    <s v="Can't connect to the Wi-Fi.It shows &quot;no internet access&quot;"/>
    <x v="1"/>
    <d v="1899-12-30T00:14:00"/>
  </r>
  <r>
    <s v="TICKET-1143"/>
    <s v="49:30.7"/>
    <s v="49:37.2"/>
    <x v="2"/>
    <x v="3"/>
    <s v="My laptop's keyboard isn't working properly, some keys are stuck"/>
    <x v="2"/>
    <d v="1899-12-30T00:00:07"/>
  </r>
  <r>
    <s v="TICKET-1144"/>
    <s v="04:19.8"/>
    <s v="18:05.8"/>
    <x v="1"/>
    <x v="8"/>
    <s v="Application X is crashing every time I open it"/>
    <x v="1"/>
    <d v="1899-12-30T00:13:46"/>
  </r>
  <r>
    <s v="TICKET-1145"/>
    <s v="49:38.6"/>
    <s v="50:13.5"/>
    <x v="6"/>
    <x v="3"/>
    <s v="Not Available"/>
    <x v="3"/>
    <d v="1899-12-30T00:00:35"/>
  </r>
  <r>
    <s v="TICKET-1146"/>
    <s v="03:21.5"/>
    <s v="54:19.2"/>
    <x v="4"/>
    <x v="6"/>
    <s v="Can't connect to the Wi-Fi.It shows &quot;no internet access&quot;"/>
    <x v="0"/>
    <d v="1899-12-30T00:50:58"/>
  </r>
  <r>
    <s v="TICKET-1147"/>
    <s v="56:42.4"/>
    <s v="01:09.2"/>
    <x v="5"/>
    <x v="3"/>
    <s v="Not Available"/>
    <x v="2"/>
    <d v="1899-12-30T00:55:33"/>
  </r>
  <r>
    <s v="TICKET-1148"/>
    <s v="22:14.1"/>
    <s v="50:11.9"/>
    <x v="0"/>
    <x v="7"/>
    <s v="Not Available"/>
    <x v="1"/>
    <d v="1899-12-30T00:27:58"/>
  </r>
  <r>
    <s v="TICKET-1149"/>
    <s v="12:38.8"/>
    <s v="13:25.4"/>
    <x v="2"/>
    <x v="0"/>
    <s v="My laptop's keyboard isn't working properly, some keys are stuck"/>
    <x v="1"/>
    <d v="1899-12-30T00:0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2:B37" firstHeaderRow="1" firstDataRow="1" firstDataCol="1"/>
  <pivotFields count="8">
    <pivotField showAll="0"/>
    <pivotField showAll="0"/>
    <pivotField showAll="0"/>
    <pivotField showAll="0">
      <items count="8">
        <item x="3"/>
        <item x="6"/>
        <item x="2"/>
        <item x="4"/>
        <item x="0"/>
        <item x="5"/>
        <item x="1"/>
        <item t="default"/>
      </items>
    </pivotField>
    <pivotField showAll="0"/>
    <pivotField showAll="0"/>
    <pivotField axis="axisRow" showAll="0">
      <items count="5">
        <item x="3"/>
        <item x="0"/>
        <item x="2"/>
        <item x="1"/>
        <item t="default"/>
      </items>
    </pivotField>
    <pivotField dataField="1" numFmtId="45" showAll="0"/>
  </pivotFields>
  <rowFields count="1">
    <field x="6"/>
  </rowFields>
  <rowItems count="5">
    <i>
      <x/>
    </i>
    <i>
      <x v="1"/>
    </i>
    <i>
      <x v="2"/>
    </i>
    <i>
      <x v="3"/>
    </i>
    <i t="grand">
      <x/>
    </i>
  </rowItems>
  <colItems count="1">
    <i/>
  </colItems>
  <dataFields count="1">
    <dataField name="Average of resolution time" fld="7" subtotal="average" baseField="6" baseItem="0" numFmtId="45"/>
  </dataFields>
  <chartFormats count="2">
    <chartFormat chart="2"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F25" firstHeaderRow="1" firstDataRow="2" firstDataCol="1"/>
  <pivotFields count="8">
    <pivotField showAll="0"/>
    <pivotField showAll="0"/>
    <pivotField showAll="0"/>
    <pivotField axis="axisRow" showAll="0">
      <items count="8">
        <item x="3"/>
        <item x="6"/>
        <item x="2"/>
        <item x="4"/>
        <item x="0"/>
        <item x="5"/>
        <item x="1"/>
        <item t="default"/>
      </items>
    </pivotField>
    <pivotField showAll="0"/>
    <pivotField showAll="0"/>
    <pivotField axis="axisCol" dataField="1" showAll="0">
      <items count="5">
        <item x="3"/>
        <item x="0"/>
        <item x="2"/>
        <item x="1"/>
        <item t="default"/>
      </items>
    </pivotField>
    <pivotField numFmtId="45" showAll="0"/>
  </pivotFields>
  <rowFields count="1">
    <field x="3"/>
  </rowFields>
  <rowItems count="8">
    <i>
      <x/>
    </i>
    <i>
      <x v="1"/>
    </i>
    <i>
      <x v="2"/>
    </i>
    <i>
      <x v="3"/>
    </i>
    <i>
      <x v="4"/>
    </i>
    <i>
      <x v="5"/>
    </i>
    <i>
      <x v="6"/>
    </i>
    <i t="grand">
      <x/>
    </i>
  </rowItems>
  <colFields count="1">
    <field x="6"/>
  </colFields>
  <colItems count="5">
    <i>
      <x/>
    </i>
    <i>
      <x v="1"/>
    </i>
    <i>
      <x v="2"/>
    </i>
    <i>
      <x v="3"/>
    </i>
    <i t="grand">
      <x/>
    </i>
  </colItems>
  <dataFields count="1">
    <dataField name="Count of priority" fld="6" subtotal="count" baseField="0" baseItem="0"/>
  </dataFields>
  <chartFormats count="8">
    <chartFormat chart="3" format="16" series="1">
      <pivotArea type="data" outline="0" fieldPosition="0">
        <references count="2">
          <reference field="4294967294" count="1" selected="0">
            <x v="0"/>
          </reference>
          <reference field="6" count="1" selected="0">
            <x v="0"/>
          </reference>
        </references>
      </pivotArea>
    </chartFormat>
    <chartFormat chart="3" format="17" series="1">
      <pivotArea type="data" outline="0" fieldPosition="0">
        <references count="2">
          <reference field="4294967294" count="1" selected="0">
            <x v="0"/>
          </reference>
          <reference field="6" count="1" selected="0">
            <x v="1"/>
          </reference>
        </references>
      </pivotArea>
    </chartFormat>
    <chartFormat chart="3" format="18" series="1">
      <pivotArea type="data" outline="0" fieldPosition="0">
        <references count="2">
          <reference field="4294967294" count="1" selected="0">
            <x v="0"/>
          </reference>
          <reference field="6" count="1" selected="0">
            <x v="2"/>
          </reference>
        </references>
      </pivotArea>
    </chartFormat>
    <chartFormat chart="3" format="19"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0"/>
          </reference>
        </references>
      </pivotArea>
    </chartFormat>
    <chartFormat chart="1" format="5" series="1">
      <pivotArea type="data" outline="0" fieldPosition="0">
        <references count="2">
          <reference field="4294967294" count="1" selected="0">
            <x v="0"/>
          </reference>
          <reference field="6" count="1" selected="0">
            <x v="1"/>
          </reference>
        </references>
      </pivotArea>
    </chartFormat>
    <chartFormat chart="1" format="6" series="1">
      <pivotArea type="data" outline="0" fieldPosition="0">
        <references count="2">
          <reference field="4294967294" count="1" selected="0">
            <x v="0"/>
          </reference>
          <reference field="6" count="1" selected="0">
            <x v="2"/>
          </reference>
        </references>
      </pivotArea>
    </chartFormat>
    <chartFormat chart="1" format="7"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B9" firstHeaderRow="1" firstDataRow="1" firstDataCol="1"/>
  <pivotFields count="8">
    <pivotField showAll="0"/>
    <pivotField showAll="0"/>
    <pivotField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dataField="1" numFmtId="45" showAll="0"/>
  </pivotFields>
  <rowFields count="1">
    <field x="3"/>
  </rowFields>
  <rowItems count="8">
    <i>
      <x/>
    </i>
    <i>
      <x v="1"/>
    </i>
    <i>
      <x v="2"/>
    </i>
    <i>
      <x v="3"/>
    </i>
    <i>
      <x v="4"/>
    </i>
    <i>
      <x v="5"/>
    </i>
    <i>
      <x v="6"/>
    </i>
    <i t="grand">
      <x/>
    </i>
  </rowItems>
  <colItems count="1">
    <i/>
  </colItems>
  <dataFields count="1">
    <dataField name="Average of resolution time" fld="7" subtotal="average" baseField="3" baseItem="0" numFmtId="45"/>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36:I41" firstHeaderRow="1" firstDataRow="1" firstDataCol="1"/>
  <pivotFields count="8">
    <pivotField showAll="0"/>
    <pivotField showAll="0"/>
    <pivotField showAll="0"/>
    <pivotField showAll="0"/>
    <pivotField showAll="0"/>
    <pivotField showAll="0"/>
    <pivotField axis="axisRow" showAll="0">
      <items count="5">
        <item x="3"/>
        <item x="0"/>
        <item x="2"/>
        <item x="1"/>
        <item t="default"/>
      </items>
    </pivotField>
    <pivotField dataField="1" numFmtId="45" showAll="0"/>
  </pivotFields>
  <rowFields count="1">
    <field x="6"/>
  </rowFields>
  <rowItems count="5">
    <i>
      <x/>
    </i>
    <i>
      <x v="1"/>
    </i>
    <i>
      <x v="2"/>
    </i>
    <i>
      <x v="3"/>
    </i>
    <i t="grand">
      <x/>
    </i>
  </rowItems>
  <colItems count="1">
    <i/>
  </colItems>
  <dataFields count="1">
    <dataField name="Average of resolution time" fld="7" subtotal="average" baseField="6" baseItem="0" numFmtId="45"/>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5:F47" firstHeaderRow="1" firstDataRow="2" firstDataCol="1"/>
  <pivotFields count="8">
    <pivotField showAll="0"/>
    <pivotField showAll="0"/>
    <pivotField showAll="0"/>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axis="axisCol" dataField="1" showAll="0">
      <items count="5">
        <item x="3"/>
        <item x="0"/>
        <item x="2"/>
        <item x="1"/>
        <item t="default"/>
      </items>
    </pivotField>
    <pivotField numFmtId="45" showAll="0"/>
  </pivotFields>
  <rowFields count="1">
    <field x="4"/>
  </rowFields>
  <rowItems count="11">
    <i>
      <x/>
    </i>
    <i>
      <x v="1"/>
    </i>
    <i>
      <x v="2"/>
    </i>
    <i>
      <x v="3"/>
    </i>
    <i>
      <x v="4"/>
    </i>
    <i>
      <x v="5"/>
    </i>
    <i>
      <x v="6"/>
    </i>
    <i>
      <x v="7"/>
    </i>
    <i>
      <x v="8"/>
    </i>
    <i>
      <x v="9"/>
    </i>
    <i t="grand">
      <x/>
    </i>
  </rowItems>
  <colFields count="1">
    <field x="6"/>
  </colFields>
  <colItems count="5">
    <i>
      <x/>
    </i>
    <i>
      <x v="1"/>
    </i>
    <i>
      <x v="2"/>
    </i>
    <i>
      <x v="3"/>
    </i>
    <i t="grand">
      <x/>
    </i>
  </colItems>
  <dataFields count="1">
    <dataField name="Count of priority" fld="6" subtotal="count" baseField="0" baseItem="0"/>
  </dataFields>
  <chartFormats count="8">
    <chartFormat chart="5" format="12" series="1">
      <pivotArea type="data" outline="0" fieldPosition="0">
        <references count="2">
          <reference field="4294967294" count="1" selected="0">
            <x v="0"/>
          </reference>
          <reference field="6" count="1" selected="0">
            <x v="0"/>
          </reference>
        </references>
      </pivotArea>
    </chartFormat>
    <chartFormat chart="5" format="13" series="1">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2">
          <reference field="4294967294" count="1" selected="0">
            <x v="0"/>
          </reference>
          <reference field="6" count="1" selected="0">
            <x v="2"/>
          </reference>
        </references>
      </pivotArea>
    </chartFormat>
    <chartFormat chart="5" format="15"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2">
          <reference field="4294967294" count="1" selected="0">
            <x v="0"/>
          </reference>
          <reference field="6" count="1" selected="0">
            <x v="2"/>
          </reference>
        </references>
      </pivotArea>
    </chartFormat>
    <chartFormat chart="3" format="7"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9:B30" firstHeaderRow="1" firstDataRow="1" firstDataCol="1"/>
  <pivotFields count="8">
    <pivotField showAll="0"/>
    <pivotField showAll="0"/>
    <pivotField showAll="0"/>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showAll="0">
      <items count="5">
        <item x="3"/>
        <item x="0"/>
        <item x="2"/>
        <item x="1"/>
        <item t="default"/>
      </items>
    </pivotField>
    <pivotField dataField="1" numFmtId="45" showAll="0"/>
  </pivotFields>
  <rowFields count="1">
    <field x="4"/>
  </rowFields>
  <rowItems count="11">
    <i>
      <x/>
    </i>
    <i>
      <x v="1"/>
    </i>
    <i>
      <x v="2"/>
    </i>
    <i>
      <x v="3"/>
    </i>
    <i>
      <x v="4"/>
    </i>
    <i>
      <x v="5"/>
    </i>
    <i>
      <x v="6"/>
    </i>
    <i>
      <x v="7"/>
    </i>
    <i>
      <x v="8"/>
    </i>
    <i>
      <x v="9"/>
    </i>
    <i t="grand">
      <x/>
    </i>
  </rowItems>
  <colItems count="1">
    <i/>
  </colItems>
  <dataFields count="1">
    <dataField name="Average of resolution time" fld="7" subtotal="average" baseField="3" baseItem="0" numFmtId="45"/>
  </dataField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5"/>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B12" firstHeaderRow="1" firstDataRow="1" firstDataCol="1"/>
  <pivotFields count="8">
    <pivotField dataField="1" showAll="0"/>
    <pivotField showAll="0"/>
    <pivotField showAll="0"/>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showAll="0">
      <items count="5">
        <item x="3"/>
        <item x="0"/>
        <item x="2"/>
        <item x="1"/>
        <item t="default"/>
      </items>
    </pivotField>
    <pivotField numFmtId="45" showAll="0"/>
  </pivotFields>
  <rowFields count="1">
    <field x="4"/>
  </rowFields>
  <rowItems count="11">
    <i>
      <x/>
    </i>
    <i>
      <x v="1"/>
    </i>
    <i>
      <x v="2"/>
    </i>
    <i>
      <x v="3"/>
    </i>
    <i>
      <x v="4"/>
    </i>
    <i>
      <x v="5"/>
    </i>
    <i>
      <x v="6"/>
    </i>
    <i>
      <x v="7"/>
    </i>
    <i>
      <x v="8"/>
    </i>
    <i>
      <x v="9"/>
    </i>
    <i t="grand">
      <x/>
    </i>
  </rowItems>
  <colItems count="1">
    <i/>
  </colItems>
  <dataFields count="1">
    <dataField name="Count of ticket_id" fld="0" subtotal="count" baseField="0" baseItem="0"/>
  </dataFields>
  <chartFormats count="2">
    <chartFormat chart="11" format="1">
      <pivotArea type="data" outline="0" fieldPosition="0">
        <references count="2">
          <reference field="4294967294" count="1" selected="0">
            <x v="0"/>
          </reference>
          <reference field="4" count="1" selected="0">
            <x v="8"/>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8">
    <queryTableFields count="7">
      <queryTableField id="1" name="Column1" tableColumnId="15"/>
      <queryTableField id="2" name="Column2" tableColumnId="16"/>
      <queryTableField id="3" name="Column3" tableColumnId="17"/>
      <queryTableField id="4" name="Column4" tableColumnId="18"/>
      <queryTableField id="5" name="Column5" tableColumnId="19"/>
      <queryTableField id="6" name="Column6" tableColumnId="20"/>
      <queryTableField id="7" name="Column7" tableColumnId="21"/>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unboundColumnsRight="1">
    <queryTableFields count="8">
      <queryTableField id="1" name="ticket_id" tableColumnId="15"/>
      <queryTableField id="2" name="submission_date" tableColumnId="16"/>
      <queryTableField id="3" name="resolution_date" tableColumnId="17"/>
      <queryTableField id="4" name="category" tableColumnId="18"/>
      <queryTableField id="5" name="assigned_analyst" tableColumnId="19"/>
      <queryTableField id="6" name="description.1" tableColumnId="20"/>
      <queryTableField id="7" name="priority" tableColumnId="21"/>
      <queryTableField id="8" dataBound="0" tableColumnId="22"/>
    </queryTableFields>
  </queryTableRefresh>
</queryTable>
</file>

<file path=xl/queryTables/queryTable3.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0" unboundColumnsRight="1">
    <queryTableFields count="8">
      <queryTableField id="1" name="ticket_id" tableColumnId="15"/>
      <queryTableField id="2" name="submission_date" tableColumnId="16"/>
      <queryTableField id="3" name="resolution_date" tableColumnId="17"/>
      <queryTableField id="4" name="category" tableColumnId="18"/>
      <queryTableField id="5" name="assigned_analyst" tableColumnId="19"/>
      <queryTableField id="6" name="description.1" tableColumnId="20"/>
      <queryTableField id="7" name="priority" tableColumnId="21"/>
      <queryTableField id="8"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iority" sourceName="priority">
  <pivotTables>
    <pivotTable tabId="4" name="PivotTable1"/>
    <pivotTable tabId="5" name="PivotTable3"/>
    <pivotTable tabId="5" name="PivotTable4"/>
    <pivotTable tabId="5" name="PivotTable5"/>
    <pivotTable tabId="4" name="PivotTable6"/>
    <pivotTable tabId="4" name="PivotTable8"/>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iority" cache="Slicer_priority" caption="priority"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3" name="help_desk_tickets__3" displayName="help_desk_tickets__3" ref="A1:G152" tableType="queryTable" totalsRowShown="0">
  <autoFilter ref="A1:G152"/>
  <tableColumns count="7">
    <tableColumn id="15" uniqueName="15" name="Column1" queryTableFieldId="1"/>
    <tableColumn id="16" uniqueName="16" name="Column2" queryTableFieldId="2"/>
    <tableColumn id="17" uniqueName="17" name="Column3" queryTableFieldId="3"/>
    <tableColumn id="18" uniqueName="18" name="Column4" queryTableFieldId="4"/>
    <tableColumn id="19" uniqueName="19" name="Column5" queryTableFieldId="5"/>
    <tableColumn id="20" uniqueName="20" name="Column6" queryTableFieldId="6"/>
    <tableColumn id="21" uniqueName="21" name="Column7" queryTableFieldId="7"/>
  </tableColumns>
  <tableStyleInfo name="TableStyleMedium7" showFirstColumn="0" showLastColumn="0" showRowStripes="1" showColumnStripes="0"/>
</table>
</file>

<file path=xl/tables/table2.xml><?xml version="1.0" encoding="utf-8"?>
<table xmlns="http://schemas.openxmlformats.org/spreadsheetml/2006/main" id="1" name="help_desk_tickets" displayName="help_desk_tickets" ref="A1:H151" tableType="queryTable" totalsRowShown="0">
  <autoFilter ref="A1:H151"/>
  <tableColumns count="8">
    <tableColumn id="15" uniqueName="15" name="ticket_id" queryTableFieldId="1"/>
    <tableColumn id="16" uniqueName="16" name="submission_date" queryTableFieldId="2" dataDxfId="5"/>
    <tableColumn id="17" uniqueName="17" name="resolution_date" queryTableFieldId="3" dataDxfId="4"/>
    <tableColumn id="18" uniqueName="18" name="category" queryTableFieldId="4"/>
    <tableColumn id="19" uniqueName="19" name="assigned_analyst" queryTableFieldId="5"/>
    <tableColumn id="20" uniqueName="20" name="description.1" queryTableFieldId="6"/>
    <tableColumn id="21" uniqueName="21" name="priority" queryTableFieldId="7"/>
    <tableColumn id="22" uniqueName="22" name="resolution time" queryTableFieldId="8" dataDxfId="3">
      <calculatedColumnFormula>ABS(C2-B2)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id="2" name="help_desk_tickets3" displayName="help_desk_tickets3" ref="A1:H151" tableType="queryTable" totalsRowShown="0">
  <autoFilter ref="A1:H151"/>
  <tableColumns count="8">
    <tableColumn id="15" uniqueName="15" name="ticket_id" queryTableFieldId="1"/>
    <tableColumn id="16" uniqueName="16" name="submission_date" queryTableFieldId="2" dataDxfId="2"/>
    <tableColumn id="17" uniqueName="17" name="resolution_date" queryTableFieldId="3" dataDxfId="1"/>
    <tableColumn id="18" uniqueName="18" name="category" queryTableFieldId="4"/>
    <tableColumn id="19" uniqueName="19" name="assigned_analyst" queryTableFieldId="5"/>
    <tableColumn id="20" uniqueName="20" name="description.1" queryTableFieldId="6"/>
    <tableColumn id="21" uniqueName="21" name="priority" queryTableFieldId="7"/>
    <tableColumn id="22" uniqueName="22" name="resolution time" queryTableFieldId="8" dataDxfId="0">
      <calculatedColumnFormula>ABS(C2-B2)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2"/>
  <sheetViews>
    <sheetView workbookViewId="0">
      <selection sqref="A1:G152"/>
    </sheetView>
  </sheetViews>
  <sheetFormatPr defaultRowHeight="15" x14ac:dyDescent="0.25"/>
  <cols>
    <col min="1" max="1" width="11.5703125" bestFit="1" customWidth="1"/>
    <col min="2" max="2" width="16.140625" bestFit="1" customWidth="1"/>
    <col min="3" max="3" width="15.28515625" bestFit="1" customWidth="1"/>
    <col min="4" max="4" width="11.140625" bestFit="1" customWidth="1"/>
    <col min="5" max="5" width="16.140625" bestFit="1" customWidth="1"/>
    <col min="6" max="6" width="107.5703125" bestFit="1" customWidth="1"/>
    <col min="7" max="7" width="11.140625" bestFit="1" customWidth="1"/>
  </cols>
  <sheetData>
    <row r="1" spans="1:7" x14ac:dyDescent="0.25">
      <c r="A1" s="1" t="s">
        <v>0</v>
      </c>
      <c r="B1" s="1" t="s">
        <v>1</v>
      </c>
      <c r="C1" s="1" t="s">
        <v>2</v>
      </c>
      <c r="D1" s="1" t="s">
        <v>3</v>
      </c>
      <c r="E1" s="1" t="s">
        <v>4</v>
      </c>
      <c r="F1" s="1" t="s">
        <v>5</v>
      </c>
      <c r="G1" s="1" t="s">
        <v>538</v>
      </c>
    </row>
    <row r="2" spans="1:7" x14ac:dyDescent="0.25">
      <c r="A2" s="1" t="s">
        <v>6</v>
      </c>
      <c r="B2" s="1" t="s">
        <v>7</v>
      </c>
      <c r="C2" s="1" t="s">
        <v>8</v>
      </c>
      <c r="D2" s="1" t="s">
        <v>9</v>
      </c>
      <c r="E2" s="1" t="s">
        <v>10</v>
      </c>
      <c r="F2" s="1" t="s">
        <v>539</v>
      </c>
      <c r="G2" s="1" t="s">
        <v>12</v>
      </c>
    </row>
    <row r="3" spans="1:7" x14ac:dyDescent="0.25">
      <c r="A3" s="1" t="s">
        <v>13</v>
      </c>
      <c r="B3" s="1" t="s">
        <v>14</v>
      </c>
      <c r="C3" s="1" t="s">
        <v>15</v>
      </c>
      <c r="D3" s="1" t="s">
        <v>16</v>
      </c>
      <c r="E3" s="1" t="s">
        <v>17</v>
      </c>
      <c r="F3" s="1" t="s">
        <v>540</v>
      </c>
      <c r="G3" s="1" t="s">
        <v>19</v>
      </c>
    </row>
    <row r="4" spans="1:7" x14ac:dyDescent="0.25">
      <c r="A4" s="1" t="s">
        <v>20</v>
      </c>
      <c r="B4" s="1" t="s">
        <v>21</v>
      </c>
      <c r="C4" s="1" t="s">
        <v>22</v>
      </c>
      <c r="D4" s="1" t="s">
        <v>23</v>
      </c>
      <c r="E4" s="1" t="s">
        <v>24</v>
      </c>
      <c r="F4" s="1" t="s">
        <v>541</v>
      </c>
      <c r="G4" s="1" t="s">
        <v>26</v>
      </c>
    </row>
    <row r="5" spans="1:7" x14ac:dyDescent="0.25">
      <c r="A5" s="1" t="s">
        <v>27</v>
      </c>
      <c r="B5" s="1" t="s">
        <v>28</v>
      </c>
      <c r="C5" s="1" t="s">
        <v>29</v>
      </c>
      <c r="D5" s="1" t="s">
        <v>16</v>
      </c>
      <c r="E5" s="1" t="s">
        <v>30</v>
      </c>
      <c r="F5" s="1" t="s">
        <v>542</v>
      </c>
      <c r="G5" s="1" t="s">
        <v>26</v>
      </c>
    </row>
    <row r="6" spans="1:7" x14ac:dyDescent="0.25">
      <c r="A6" s="1" t="s">
        <v>32</v>
      </c>
      <c r="B6" s="1" t="s">
        <v>33</v>
      </c>
      <c r="C6" s="1" t="s">
        <v>34</v>
      </c>
      <c r="D6" s="1" t="s">
        <v>35</v>
      </c>
      <c r="E6" s="1" t="s">
        <v>36</v>
      </c>
      <c r="F6" s="1" t="s">
        <v>543</v>
      </c>
      <c r="G6" s="1" t="s">
        <v>19</v>
      </c>
    </row>
    <row r="7" spans="1:7" x14ac:dyDescent="0.25">
      <c r="A7" s="1" t="s">
        <v>38</v>
      </c>
      <c r="B7" s="1" t="s">
        <v>39</v>
      </c>
      <c r="C7" s="1" t="s">
        <v>40</v>
      </c>
      <c r="D7" s="1" t="s">
        <v>23</v>
      </c>
      <c r="E7" s="1" t="s">
        <v>41</v>
      </c>
      <c r="F7" s="1" t="s">
        <v>544</v>
      </c>
      <c r="G7" s="1" t="s">
        <v>19</v>
      </c>
    </row>
    <row r="8" spans="1:7" x14ac:dyDescent="0.25">
      <c r="A8" s="1" t="s">
        <v>42</v>
      </c>
      <c r="B8" s="1" t="s">
        <v>43</v>
      </c>
      <c r="C8" s="1" t="s">
        <v>44</v>
      </c>
      <c r="D8" s="1" t="s">
        <v>23</v>
      </c>
      <c r="E8" s="1" t="s">
        <v>30</v>
      </c>
      <c r="F8" s="1" t="s">
        <v>545</v>
      </c>
      <c r="G8" s="1" t="s">
        <v>45</v>
      </c>
    </row>
    <row r="9" spans="1:7" x14ac:dyDescent="0.25">
      <c r="A9" s="1" t="s">
        <v>46</v>
      </c>
      <c r="B9" s="1" t="s">
        <v>47</v>
      </c>
      <c r="C9" s="1" t="s">
        <v>48</v>
      </c>
      <c r="D9" s="1" t="s">
        <v>49</v>
      </c>
      <c r="E9" s="1" t="s">
        <v>50</v>
      </c>
      <c r="F9" s="1" t="s">
        <v>546</v>
      </c>
      <c r="G9" s="1" t="s">
        <v>45</v>
      </c>
    </row>
    <row r="10" spans="1:7" x14ac:dyDescent="0.25">
      <c r="A10" s="1" t="s">
        <v>52</v>
      </c>
      <c r="B10" s="1" t="s">
        <v>53</v>
      </c>
      <c r="C10" s="1" t="s">
        <v>54</v>
      </c>
      <c r="D10" s="1" t="s">
        <v>23</v>
      </c>
      <c r="E10" s="1" t="s">
        <v>55</v>
      </c>
      <c r="F10" s="1" t="s">
        <v>547</v>
      </c>
      <c r="G10" s="1" t="s">
        <v>45</v>
      </c>
    </row>
    <row r="11" spans="1:7" x14ac:dyDescent="0.25">
      <c r="A11" s="1" t="s">
        <v>56</v>
      </c>
      <c r="B11" s="1" t="s">
        <v>57</v>
      </c>
      <c r="C11" s="1" t="s">
        <v>58</v>
      </c>
      <c r="D11" s="1" t="s">
        <v>35</v>
      </c>
      <c r="E11" s="1" t="s">
        <v>55</v>
      </c>
      <c r="F11" s="1" t="s">
        <v>548</v>
      </c>
      <c r="G11" s="1" t="s">
        <v>26</v>
      </c>
    </row>
    <row r="12" spans="1:7" x14ac:dyDescent="0.25">
      <c r="A12" s="1" t="s">
        <v>59</v>
      </c>
      <c r="B12" s="1" t="s">
        <v>60</v>
      </c>
      <c r="C12" s="1" t="s">
        <v>61</v>
      </c>
      <c r="D12" s="1" t="s">
        <v>23</v>
      </c>
      <c r="E12" s="1" t="s">
        <v>30</v>
      </c>
      <c r="F12" s="1" t="s">
        <v>549</v>
      </c>
      <c r="G12" s="1" t="s">
        <v>26</v>
      </c>
    </row>
    <row r="13" spans="1:7" x14ac:dyDescent="0.25">
      <c r="A13" s="1" t="s">
        <v>62</v>
      </c>
      <c r="B13" s="1" t="s">
        <v>63</v>
      </c>
      <c r="C13" s="1" t="s">
        <v>64</v>
      </c>
      <c r="D13" s="1" t="s">
        <v>23</v>
      </c>
      <c r="E13" s="1" t="s">
        <v>65</v>
      </c>
      <c r="F13" s="1" t="s">
        <v>550</v>
      </c>
      <c r="G13" s="1" t="s">
        <v>45</v>
      </c>
    </row>
    <row r="14" spans="1:7" x14ac:dyDescent="0.25">
      <c r="A14" s="1" t="s">
        <v>66</v>
      </c>
      <c r="B14" s="1" t="s">
        <v>67</v>
      </c>
      <c r="C14" s="1" t="s">
        <v>68</v>
      </c>
      <c r="D14" s="1" t="s">
        <v>69</v>
      </c>
      <c r="E14" s="1" t="s">
        <v>70</v>
      </c>
      <c r="F14" s="1" t="s">
        <v>551</v>
      </c>
      <c r="G14" s="1" t="s">
        <v>19</v>
      </c>
    </row>
    <row r="15" spans="1:7" x14ac:dyDescent="0.25">
      <c r="A15" s="1" t="s">
        <v>71</v>
      </c>
      <c r="B15" s="1" t="s">
        <v>72</v>
      </c>
      <c r="C15" s="1" t="s">
        <v>73</v>
      </c>
      <c r="D15" s="1" t="s">
        <v>69</v>
      </c>
      <c r="E15" s="1" t="s">
        <v>17</v>
      </c>
      <c r="F15" s="1" t="s">
        <v>552</v>
      </c>
      <c r="G15" s="1" t="s">
        <v>26</v>
      </c>
    </row>
    <row r="16" spans="1:7" x14ac:dyDescent="0.25">
      <c r="A16" s="1" t="s">
        <v>74</v>
      </c>
      <c r="B16" s="1" t="s">
        <v>75</v>
      </c>
      <c r="C16" s="1" t="s">
        <v>76</v>
      </c>
      <c r="D16" s="1" t="s">
        <v>23</v>
      </c>
      <c r="E16" s="1" t="s">
        <v>55</v>
      </c>
      <c r="F16" s="1" t="s">
        <v>553</v>
      </c>
      <c r="G16" s="1" t="s">
        <v>45</v>
      </c>
    </row>
    <row r="17" spans="1:7" x14ac:dyDescent="0.25">
      <c r="A17" s="1" t="s">
        <v>77</v>
      </c>
      <c r="B17" s="1" t="s">
        <v>78</v>
      </c>
      <c r="C17" s="1" t="s">
        <v>79</v>
      </c>
      <c r="D17" s="1" t="s">
        <v>23</v>
      </c>
      <c r="E17" s="1" t="s">
        <v>24</v>
      </c>
      <c r="F17" s="1" t="s">
        <v>554</v>
      </c>
      <c r="G17" s="1" t="s">
        <v>19</v>
      </c>
    </row>
    <row r="18" spans="1:7" x14ac:dyDescent="0.25">
      <c r="A18" s="1" t="s">
        <v>80</v>
      </c>
      <c r="B18" s="1" t="s">
        <v>81</v>
      </c>
      <c r="C18" s="1" t="s">
        <v>82</v>
      </c>
      <c r="D18" s="1" t="s">
        <v>23</v>
      </c>
      <c r="E18" s="1" t="s">
        <v>83</v>
      </c>
      <c r="F18" s="1" t="s">
        <v>555</v>
      </c>
      <c r="G18" s="1" t="s">
        <v>19</v>
      </c>
    </row>
    <row r="19" spans="1:7" x14ac:dyDescent="0.25">
      <c r="A19" s="1" t="s">
        <v>84</v>
      </c>
      <c r="B19" s="1" t="s">
        <v>85</v>
      </c>
      <c r="C19" s="1" t="s">
        <v>86</v>
      </c>
      <c r="D19" s="1" t="s">
        <v>23</v>
      </c>
      <c r="E19" s="1" t="s">
        <v>55</v>
      </c>
      <c r="F19" s="1" t="s">
        <v>556</v>
      </c>
      <c r="G19" s="1" t="s">
        <v>45</v>
      </c>
    </row>
    <row r="20" spans="1:7" x14ac:dyDescent="0.25">
      <c r="A20" s="1" t="s">
        <v>87</v>
      </c>
      <c r="B20" s="1" t="s">
        <v>88</v>
      </c>
      <c r="C20" s="1" t="s">
        <v>89</v>
      </c>
      <c r="D20" s="1" t="s">
        <v>90</v>
      </c>
      <c r="E20" s="1" t="s">
        <v>17</v>
      </c>
      <c r="F20" s="1" t="s">
        <v>557</v>
      </c>
      <c r="G20" s="1" t="s">
        <v>45</v>
      </c>
    </row>
    <row r="21" spans="1:7" x14ac:dyDescent="0.25">
      <c r="A21" s="1" t="s">
        <v>92</v>
      </c>
      <c r="B21" s="1" t="s">
        <v>93</v>
      </c>
      <c r="C21" s="1" t="s">
        <v>94</v>
      </c>
      <c r="D21" s="1" t="s">
        <v>69</v>
      </c>
      <c r="E21" s="1" t="s">
        <v>36</v>
      </c>
      <c r="F21" s="1" t="s">
        <v>558</v>
      </c>
      <c r="G21" s="1" t="s">
        <v>45</v>
      </c>
    </row>
    <row r="22" spans="1:7" x14ac:dyDescent="0.25">
      <c r="A22" s="1" t="s">
        <v>95</v>
      </c>
      <c r="B22" s="1" t="s">
        <v>96</v>
      </c>
      <c r="C22" s="1" t="s">
        <v>97</v>
      </c>
      <c r="D22" s="1" t="s">
        <v>35</v>
      </c>
      <c r="E22" s="1" t="s">
        <v>36</v>
      </c>
      <c r="F22" s="1" t="s">
        <v>559</v>
      </c>
      <c r="G22" s="1" t="s">
        <v>26</v>
      </c>
    </row>
    <row r="23" spans="1:7" x14ac:dyDescent="0.25">
      <c r="A23" s="1" t="s">
        <v>98</v>
      </c>
      <c r="B23" s="1" t="s">
        <v>99</v>
      </c>
      <c r="C23" s="1" t="s">
        <v>100</v>
      </c>
      <c r="D23" s="1" t="s">
        <v>23</v>
      </c>
      <c r="E23" s="1" t="s">
        <v>24</v>
      </c>
      <c r="F23" s="1" t="s">
        <v>560</v>
      </c>
      <c r="G23" s="1" t="s">
        <v>26</v>
      </c>
    </row>
    <row r="24" spans="1:7" x14ac:dyDescent="0.25">
      <c r="A24" s="1" t="s">
        <v>101</v>
      </c>
      <c r="B24" s="1" t="s">
        <v>102</v>
      </c>
      <c r="C24" s="1" t="s">
        <v>103</v>
      </c>
      <c r="D24" s="1" t="s">
        <v>23</v>
      </c>
      <c r="E24" s="1" t="s">
        <v>17</v>
      </c>
      <c r="F24" s="1" t="s">
        <v>561</v>
      </c>
      <c r="G24" s="1" t="s">
        <v>26</v>
      </c>
    </row>
    <row r="25" spans="1:7" x14ac:dyDescent="0.25">
      <c r="A25" s="1" t="s">
        <v>104</v>
      </c>
      <c r="B25" s="1" t="s">
        <v>105</v>
      </c>
      <c r="C25" s="1" t="s">
        <v>106</v>
      </c>
      <c r="D25" s="1" t="s">
        <v>23</v>
      </c>
      <c r="E25" s="1" t="s">
        <v>65</v>
      </c>
      <c r="F25" s="1" t="s">
        <v>562</v>
      </c>
      <c r="G25" s="1" t="s">
        <v>26</v>
      </c>
    </row>
    <row r="26" spans="1:7" x14ac:dyDescent="0.25">
      <c r="A26" s="1" t="s">
        <v>107</v>
      </c>
      <c r="B26" s="1" t="s">
        <v>108</v>
      </c>
      <c r="C26" s="1" t="s">
        <v>109</v>
      </c>
      <c r="D26" s="1" t="s">
        <v>23</v>
      </c>
      <c r="E26" s="1" t="s">
        <v>41</v>
      </c>
      <c r="F26" s="1" t="s">
        <v>563</v>
      </c>
      <c r="G26" s="1" t="s">
        <v>26</v>
      </c>
    </row>
    <row r="27" spans="1:7" x14ac:dyDescent="0.25">
      <c r="A27" s="1" t="s">
        <v>110</v>
      </c>
      <c r="B27" s="1" t="s">
        <v>111</v>
      </c>
      <c r="C27" s="1" t="s">
        <v>112</v>
      </c>
      <c r="D27" s="1" t="s">
        <v>69</v>
      </c>
      <c r="E27" s="1" t="s">
        <v>36</v>
      </c>
      <c r="F27" s="1" t="s">
        <v>564</v>
      </c>
      <c r="G27" s="1" t="s">
        <v>45</v>
      </c>
    </row>
    <row r="28" spans="1:7" x14ac:dyDescent="0.25">
      <c r="A28" s="1" t="s">
        <v>113</v>
      </c>
      <c r="B28" s="1" t="s">
        <v>114</v>
      </c>
      <c r="C28" s="1" t="s">
        <v>115</v>
      </c>
      <c r="D28" s="1" t="s">
        <v>23</v>
      </c>
      <c r="E28" s="1" t="s">
        <v>24</v>
      </c>
      <c r="F28" s="1" t="s">
        <v>565</v>
      </c>
      <c r="G28" s="1" t="s">
        <v>26</v>
      </c>
    </row>
    <row r="29" spans="1:7" x14ac:dyDescent="0.25">
      <c r="A29" s="1" t="s">
        <v>116</v>
      </c>
      <c r="B29" s="1" t="s">
        <v>117</v>
      </c>
      <c r="C29" s="1" t="s">
        <v>118</v>
      </c>
      <c r="D29" s="1" t="s">
        <v>69</v>
      </c>
      <c r="E29" s="1" t="s">
        <v>41</v>
      </c>
      <c r="F29" s="1" t="s">
        <v>566</v>
      </c>
      <c r="G29" s="1" t="s">
        <v>19</v>
      </c>
    </row>
    <row r="30" spans="1:7" x14ac:dyDescent="0.25">
      <c r="A30" s="1" t="s">
        <v>119</v>
      </c>
      <c r="B30" s="1" t="s">
        <v>120</v>
      </c>
      <c r="C30" s="1" t="s">
        <v>121</v>
      </c>
      <c r="D30" s="1" t="s">
        <v>122</v>
      </c>
      <c r="E30" s="1" t="s">
        <v>24</v>
      </c>
      <c r="F30" s="1" t="s">
        <v>567</v>
      </c>
      <c r="G30" s="1" t="s">
        <v>26</v>
      </c>
    </row>
    <row r="31" spans="1:7" x14ac:dyDescent="0.25">
      <c r="A31" s="1" t="s">
        <v>124</v>
      </c>
      <c r="B31" s="1" t="s">
        <v>125</v>
      </c>
      <c r="C31" s="1" t="s">
        <v>126</v>
      </c>
      <c r="D31" s="1" t="s">
        <v>16</v>
      </c>
      <c r="E31" s="1" t="s">
        <v>17</v>
      </c>
      <c r="F31" s="1" t="s">
        <v>568</v>
      </c>
      <c r="G31" s="1" t="s">
        <v>45</v>
      </c>
    </row>
    <row r="32" spans="1:7" x14ac:dyDescent="0.25">
      <c r="A32" s="1" t="s">
        <v>128</v>
      </c>
      <c r="B32" s="1" t="s">
        <v>129</v>
      </c>
      <c r="C32" s="1" t="s">
        <v>130</v>
      </c>
      <c r="D32" s="1" t="s">
        <v>23</v>
      </c>
      <c r="E32" s="1" t="s">
        <v>30</v>
      </c>
      <c r="F32" s="1" t="s">
        <v>569</v>
      </c>
      <c r="G32" s="1" t="s">
        <v>26</v>
      </c>
    </row>
    <row r="33" spans="1:7" x14ac:dyDescent="0.25">
      <c r="A33" s="1" t="s">
        <v>131</v>
      </c>
      <c r="B33" s="1" t="s">
        <v>132</v>
      </c>
      <c r="C33" s="1" t="s">
        <v>133</v>
      </c>
      <c r="D33" s="1" t="s">
        <v>69</v>
      </c>
      <c r="E33" s="1" t="s">
        <v>30</v>
      </c>
      <c r="F33" s="1" t="s">
        <v>570</v>
      </c>
      <c r="G33" s="1" t="s">
        <v>45</v>
      </c>
    </row>
    <row r="34" spans="1:7" x14ac:dyDescent="0.25">
      <c r="A34" s="1" t="s">
        <v>134</v>
      </c>
      <c r="B34" s="1" t="s">
        <v>135</v>
      </c>
      <c r="C34" s="1" t="s">
        <v>136</v>
      </c>
      <c r="D34" s="1" t="s">
        <v>23</v>
      </c>
      <c r="E34" s="1" t="s">
        <v>24</v>
      </c>
      <c r="F34" s="1" t="s">
        <v>571</v>
      </c>
      <c r="G34" s="1" t="s">
        <v>19</v>
      </c>
    </row>
    <row r="35" spans="1:7" x14ac:dyDescent="0.25">
      <c r="A35" s="1" t="s">
        <v>137</v>
      </c>
      <c r="B35" s="1" t="s">
        <v>138</v>
      </c>
      <c r="C35" s="1" t="s">
        <v>139</v>
      </c>
      <c r="D35" s="1" t="s">
        <v>69</v>
      </c>
      <c r="E35" s="1" t="s">
        <v>55</v>
      </c>
      <c r="F35" s="1" t="s">
        <v>572</v>
      </c>
      <c r="G35" s="1" t="s">
        <v>45</v>
      </c>
    </row>
    <row r="36" spans="1:7" x14ac:dyDescent="0.25">
      <c r="A36" s="1" t="s">
        <v>140</v>
      </c>
      <c r="B36" s="1" t="s">
        <v>141</v>
      </c>
      <c r="C36" s="1" t="s">
        <v>142</v>
      </c>
      <c r="D36" s="1" t="s">
        <v>122</v>
      </c>
      <c r="E36" s="1" t="s">
        <v>50</v>
      </c>
      <c r="F36" s="1" t="s">
        <v>573</v>
      </c>
      <c r="G36" s="1" t="s">
        <v>45</v>
      </c>
    </row>
    <row r="37" spans="1:7" x14ac:dyDescent="0.25">
      <c r="A37" s="1" t="s">
        <v>144</v>
      </c>
      <c r="B37" s="1" t="s">
        <v>145</v>
      </c>
      <c r="C37" s="1" t="s">
        <v>146</v>
      </c>
      <c r="D37" s="1" t="s">
        <v>23</v>
      </c>
      <c r="E37" s="1" t="s">
        <v>41</v>
      </c>
      <c r="F37" s="1" t="s">
        <v>574</v>
      </c>
      <c r="G37" s="1" t="s">
        <v>45</v>
      </c>
    </row>
    <row r="38" spans="1:7" x14ac:dyDescent="0.25">
      <c r="A38" s="1" t="s">
        <v>147</v>
      </c>
      <c r="B38" s="1" t="s">
        <v>148</v>
      </c>
      <c r="C38" s="1" t="s">
        <v>149</v>
      </c>
      <c r="D38" s="1" t="s">
        <v>35</v>
      </c>
      <c r="E38" s="1" t="s">
        <v>24</v>
      </c>
      <c r="F38" s="1" t="s">
        <v>575</v>
      </c>
      <c r="G38" s="1" t="s">
        <v>45</v>
      </c>
    </row>
    <row r="39" spans="1:7" x14ac:dyDescent="0.25">
      <c r="A39" s="1" t="s">
        <v>150</v>
      </c>
      <c r="B39" s="1" t="s">
        <v>151</v>
      </c>
      <c r="C39" s="1" t="s">
        <v>152</v>
      </c>
      <c r="D39" s="1" t="s">
        <v>23</v>
      </c>
      <c r="E39" s="1" t="s">
        <v>70</v>
      </c>
      <c r="F39" s="1" t="s">
        <v>576</v>
      </c>
      <c r="G39" s="1" t="s">
        <v>45</v>
      </c>
    </row>
    <row r="40" spans="1:7" x14ac:dyDescent="0.25">
      <c r="A40" s="1" t="s">
        <v>153</v>
      </c>
      <c r="B40" s="1" t="s">
        <v>154</v>
      </c>
      <c r="C40" s="1" t="s">
        <v>155</v>
      </c>
      <c r="D40" s="1" t="s">
        <v>16</v>
      </c>
      <c r="E40" s="1" t="s">
        <v>65</v>
      </c>
      <c r="F40" s="1" t="s">
        <v>577</v>
      </c>
      <c r="G40" s="1" t="s">
        <v>45</v>
      </c>
    </row>
    <row r="41" spans="1:7" x14ac:dyDescent="0.25">
      <c r="A41" s="1" t="s">
        <v>157</v>
      </c>
      <c r="B41" s="1" t="s">
        <v>158</v>
      </c>
      <c r="C41" s="1" t="s">
        <v>159</v>
      </c>
      <c r="D41" s="1" t="s">
        <v>23</v>
      </c>
      <c r="E41" s="1" t="s">
        <v>50</v>
      </c>
      <c r="F41" s="1" t="s">
        <v>578</v>
      </c>
      <c r="G41" s="1" t="s">
        <v>26</v>
      </c>
    </row>
    <row r="42" spans="1:7" x14ac:dyDescent="0.25">
      <c r="A42" s="1" t="s">
        <v>160</v>
      </c>
      <c r="B42" s="1" t="s">
        <v>161</v>
      </c>
      <c r="C42" s="1" t="s">
        <v>162</v>
      </c>
      <c r="D42" s="1" t="s">
        <v>49</v>
      </c>
      <c r="E42" s="1" t="s">
        <v>55</v>
      </c>
      <c r="F42" s="1" t="s">
        <v>579</v>
      </c>
      <c r="G42" s="1" t="s">
        <v>26</v>
      </c>
    </row>
    <row r="43" spans="1:7" x14ac:dyDescent="0.25">
      <c r="A43" s="1" t="s">
        <v>163</v>
      </c>
      <c r="B43" s="1" t="s">
        <v>164</v>
      </c>
      <c r="C43" s="1" t="s">
        <v>165</v>
      </c>
      <c r="D43" s="1" t="s">
        <v>69</v>
      </c>
      <c r="E43" s="1" t="s">
        <v>17</v>
      </c>
      <c r="F43" s="1" t="s">
        <v>580</v>
      </c>
      <c r="G43" s="1" t="s">
        <v>26</v>
      </c>
    </row>
    <row r="44" spans="1:7" x14ac:dyDescent="0.25">
      <c r="A44" s="1" t="s">
        <v>166</v>
      </c>
      <c r="B44" s="1" t="s">
        <v>167</v>
      </c>
      <c r="C44" s="1" t="s">
        <v>168</v>
      </c>
      <c r="D44" s="1" t="s">
        <v>35</v>
      </c>
      <c r="E44" s="1" t="s">
        <v>24</v>
      </c>
      <c r="F44" s="1" t="s">
        <v>581</v>
      </c>
      <c r="G44" s="1" t="s">
        <v>45</v>
      </c>
    </row>
    <row r="45" spans="1:7" x14ac:dyDescent="0.25">
      <c r="A45" s="1" t="s">
        <v>169</v>
      </c>
      <c r="B45" s="1" t="s">
        <v>170</v>
      </c>
      <c r="C45" s="1" t="s">
        <v>171</v>
      </c>
      <c r="D45" s="1" t="s">
        <v>122</v>
      </c>
      <c r="E45" s="1" t="s">
        <v>83</v>
      </c>
      <c r="F45" s="1" t="s">
        <v>582</v>
      </c>
      <c r="G45" s="1" t="s">
        <v>45</v>
      </c>
    </row>
    <row r="46" spans="1:7" x14ac:dyDescent="0.25">
      <c r="A46" s="1" t="s">
        <v>173</v>
      </c>
      <c r="B46" s="1" t="s">
        <v>174</v>
      </c>
      <c r="C46" s="1" t="s">
        <v>175</v>
      </c>
      <c r="D46" s="1" t="s">
        <v>23</v>
      </c>
      <c r="E46" s="1" t="s">
        <v>55</v>
      </c>
      <c r="F46" s="1" t="s">
        <v>583</v>
      </c>
      <c r="G46" s="1" t="s">
        <v>176</v>
      </c>
    </row>
    <row r="47" spans="1:7" x14ac:dyDescent="0.25">
      <c r="A47" s="1" t="s">
        <v>177</v>
      </c>
      <c r="B47" s="1" t="s">
        <v>178</v>
      </c>
      <c r="C47" s="1" t="s">
        <v>179</v>
      </c>
      <c r="D47" s="1" t="s">
        <v>35</v>
      </c>
      <c r="E47" s="1" t="s">
        <v>50</v>
      </c>
      <c r="F47" s="1" t="s">
        <v>584</v>
      </c>
      <c r="G47" s="1" t="s">
        <v>19</v>
      </c>
    </row>
    <row r="48" spans="1:7" x14ac:dyDescent="0.25">
      <c r="A48" s="1" t="s">
        <v>180</v>
      </c>
      <c r="B48" s="1" t="s">
        <v>181</v>
      </c>
      <c r="C48" s="1" t="s">
        <v>182</v>
      </c>
      <c r="D48" s="1" t="s">
        <v>23</v>
      </c>
      <c r="E48" s="1" t="s">
        <v>24</v>
      </c>
      <c r="F48" s="1" t="s">
        <v>585</v>
      </c>
      <c r="G48" s="1" t="s">
        <v>19</v>
      </c>
    </row>
    <row r="49" spans="1:7" x14ac:dyDescent="0.25">
      <c r="A49" s="1" t="s">
        <v>183</v>
      </c>
      <c r="B49" s="1" t="s">
        <v>184</v>
      </c>
      <c r="C49" s="1" t="s">
        <v>185</v>
      </c>
      <c r="D49" s="1" t="s">
        <v>69</v>
      </c>
      <c r="E49" s="1" t="s">
        <v>41</v>
      </c>
      <c r="F49" s="1" t="s">
        <v>586</v>
      </c>
      <c r="G49" s="1" t="s">
        <v>26</v>
      </c>
    </row>
    <row r="50" spans="1:7" x14ac:dyDescent="0.25">
      <c r="A50" s="1" t="s">
        <v>186</v>
      </c>
      <c r="B50" s="1" t="s">
        <v>187</v>
      </c>
      <c r="C50" s="1" t="s">
        <v>188</v>
      </c>
      <c r="D50" s="1" t="s">
        <v>49</v>
      </c>
      <c r="E50" s="1" t="s">
        <v>24</v>
      </c>
      <c r="F50" s="1" t="s">
        <v>587</v>
      </c>
      <c r="G50" s="1" t="s">
        <v>45</v>
      </c>
    </row>
    <row r="51" spans="1:7" x14ac:dyDescent="0.25">
      <c r="A51" s="1" t="s">
        <v>189</v>
      </c>
      <c r="B51" s="1" t="s">
        <v>190</v>
      </c>
      <c r="C51" s="1" t="s">
        <v>191</v>
      </c>
      <c r="D51" s="1" t="s">
        <v>69</v>
      </c>
      <c r="E51" s="1" t="s">
        <v>24</v>
      </c>
      <c r="F51" s="1" t="s">
        <v>588</v>
      </c>
      <c r="G51" s="1" t="s">
        <v>26</v>
      </c>
    </row>
    <row r="52" spans="1:7" x14ac:dyDescent="0.25">
      <c r="A52" s="1" t="s">
        <v>192</v>
      </c>
      <c r="B52" s="1" t="s">
        <v>193</v>
      </c>
      <c r="C52" s="1" t="s">
        <v>194</v>
      </c>
      <c r="D52" s="1" t="s">
        <v>69</v>
      </c>
      <c r="E52" s="1" t="s">
        <v>24</v>
      </c>
      <c r="F52" s="1" t="s">
        <v>589</v>
      </c>
      <c r="G52" s="1" t="s">
        <v>26</v>
      </c>
    </row>
    <row r="53" spans="1:7" x14ac:dyDescent="0.25">
      <c r="A53" s="1" t="s">
        <v>195</v>
      </c>
      <c r="B53" s="1" t="s">
        <v>196</v>
      </c>
      <c r="C53" s="1" t="s">
        <v>197</v>
      </c>
      <c r="D53" s="1" t="s">
        <v>16</v>
      </c>
      <c r="E53" s="1" t="s">
        <v>36</v>
      </c>
      <c r="F53" s="1" t="s">
        <v>590</v>
      </c>
      <c r="G53" s="1" t="s">
        <v>45</v>
      </c>
    </row>
    <row r="54" spans="1:7" x14ac:dyDescent="0.25">
      <c r="A54" s="1" t="s">
        <v>199</v>
      </c>
      <c r="B54" s="1" t="s">
        <v>200</v>
      </c>
      <c r="C54" s="1" t="s">
        <v>201</v>
      </c>
      <c r="D54" s="1" t="s">
        <v>23</v>
      </c>
      <c r="E54" s="1" t="s">
        <v>24</v>
      </c>
      <c r="F54" s="1" t="s">
        <v>591</v>
      </c>
      <c r="G54" s="1" t="s">
        <v>45</v>
      </c>
    </row>
    <row r="55" spans="1:7" x14ac:dyDescent="0.25">
      <c r="A55" s="1" t="s">
        <v>202</v>
      </c>
      <c r="B55" s="1" t="s">
        <v>203</v>
      </c>
      <c r="C55" s="1" t="s">
        <v>204</v>
      </c>
      <c r="D55" s="1" t="s">
        <v>23</v>
      </c>
      <c r="E55" s="1" t="s">
        <v>36</v>
      </c>
      <c r="F55" s="1" t="s">
        <v>592</v>
      </c>
      <c r="G55" s="1" t="s">
        <v>26</v>
      </c>
    </row>
    <row r="56" spans="1:7" x14ac:dyDescent="0.25">
      <c r="A56" s="1" t="s">
        <v>205</v>
      </c>
      <c r="B56" s="1" t="s">
        <v>206</v>
      </c>
      <c r="C56" s="1" t="s">
        <v>207</v>
      </c>
      <c r="D56" s="1" t="s">
        <v>23</v>
      </c>
      <c r="E56" s="1" t="s">
        <v>24</v>
      </c>
      <c r="F56" s="1" t="s">
        <v>593</v>
      </c>
      <c r="G56" s="1" t="s">
        <v>26</v>
      </c>
    </row>
    <row r="57" spans="1:7" x14ac:dyDescent="0.25">
      <c r="A57" s="1" t="s">
        <v>208</v>
      </c>
      <c r="B57" s="1" t="s">
        <v>209</v>
      </c>
      <c r="C57" s="1" t="s">
        <v>210</v>
      </c>
      <c r="D57" s="1" t="s">
        <v>69</v>
      </c>
      <c r="E57" s="1" t="s">
        <v>30</v>
      </c>
      <c r="F57" s="1" t="s">
        <v>594</v>
      </c>
      <c r="G57" s="1" t="s">
        <v>19</v>
      </c>
    </row>
    <row r="58" spans="1:7" x14ac:dyDescent="0.25">
      <c r="A58" s="1" t="s">
        <v>211</v>
      </c>
      <c r="B58" s="1" t="s">
        <v>212</v>
      </c>
      <c r="C58" s="1" t="s">
        <v>213</v>
      </c>
      <c r="D58" s="1" t="s">
        <v>49</v>
      </c>
      <c r="E58" s="1" t="s">
        <v>24</v>
      </c>
      <c r="F58" s="1" t="s">
        <v>595</v>
      </c>
      <c r="G58" s="1" t="s">
        <v>26</v>
      </c>
    </row>
    <row r="59" spans="1:7" x14ac:dyDescent="0.25">
      <c r="A59" s="1" t="s">
        <v>214</v>
      </c>
      <c r="B59" s="1" t="s">
        <v>215</v>
      </c>
      <c r="C59" s="1" t="s">
        <v>216</v>
      </c>
      <c r="D59" s="1" t="s">
        <v>16</v>
      </c>
      <c r="E59" s="1" t="s">
        <v>36</v>
      </c>
      <c r="F59" s="1" t="s">
        <v>596</v>
      </c>
      <c r="G59" s="1" t="s">
        <v>26</v>
      </c>
    </row>
    <row r="60" spans="1:7" x14ac:dyDescent="0.25">
      <c r="A60" s="1" t="s">
        <v>218</v>
      </c>
      <c r="B60" s="1" t="s">
        <v>219</v>
      </c>
      <c r="C60" s="1" t="s">
        <v>220</v>
      </c>
      <c r="D60" s="1" t="s">
        <v>90</v>
      </c>
      <c r="E60" s="1" t="s">
        <v>55</v>
      </c>
      <c r="F60" s="1" t="s">
        <v>597</v>
      </c>
      <c r="G60" s="1" t="s">
        <v>45</v>
      </c>
    </row>
    <row r="61" spans="1:7" x14ac:dyDescent="0.25">
      <c r="A61" s="1" t="s">
        <v>222</v>
      </c>
      <c r="B61" s="1" t="s">
        <v>223</v>
      </c>
      <c r="C61" s="1" t="s">
        <v>224</v>
      </c>
      <c r="D61" s="1" t="s">
        <v>16</v>
      </c>
      <c r="E61" s="1" t="s">
        <v>55</v>
      </c>
      <c r="F61" s="1" t="s">
        <v>598</v>
      </c>
      <c r="G61" s="1" t="s">
        <v>26</v>
      </c>
    </row>
    <row r="62" spans="1:7" x14ac:dyDescent="0.25">
      <c r="A62" s="1" t="s">
        <v>226</v>
      </c>
      <c r="B62" s="1" t="s">
        <v>227</v>
      </c>
      <c r="C62" s="1" t="s">
        <v>228</v>
      </c>
      <c r="D62" s="1" t="s">
        <v>23</v>
      </c>
      <c r="E62" s="1" t="s">
        <v>50</v>
      </c>
      <c r="F62" s="1" t="s">
        <v>599</v>
      </c>
      <c r="G62" s="1" t="s">
        <v>26</v>
      </c>
    </row>
    <row r="63" spans="1:7" x14ac:dyDescent="0.25">
      <c r="A63" s="1" t="s">
        <v>229</v>
      </c>
      <c r="B63" s="1" t="s">
        <v>230</v>
      </c>
      <c r="C63" s="1" t="s">
        <v>231</v>
      </c>
      <c r="D63" s="1" t="s">
        <v>35</v>
      </c>
      <c r="E63" s="1" t="s">
        <v>36</v>
      </c>
      <c r="F63" s="1" t="s">
        <v>600</v>
      </c>
      <c r="G63" s="1" t="s">
        <v>26</v>
      </c>
    </row>
    <row r="64" spans="1:7" x14ac:dyDescent="0.25">
      <c r="A64" s="1" t="s">
        <v>232</v>
      </c>
      <c r="B64" s="1" t="s">
        <v>233</v>
      </c>
      <c r="C64" s="1" t="s">
        <v>234</v>
      </c>
      <c r="D64" s="1" t="s">
        <v>23</v>
      </c>
      <c r="E64" s="1" t="s">
        <v>17</v>
      </c>
      <c r="F64" s="1" t="s">
        <v>601</v>
      </c>
      <c r="G64" s="1" t="s">
        <v>26</v>
      </c>
    </row>
    <row r="65" spans="1:7" x14ac:dyDescent="0.25">
      <c r="A65" s="1" t="s">
        <v>235</v>
      </c>
      <c r="B65" s="1" t="s">
        <v>236</v>
      </c>
      <c r="C65" s="1" t="s">
        <v>237</v>
      </c>
      <c r="D65" s="1" t="s">
        <v>23</v>
      </c>
      <c r="E65" s="1" t="s">
        <v>65</v>
      </c>
      <c r="F65" s="1" t="s">
        <v>602</v>
      </c>
      <c r="G65" s="1" t="s">
        <v>26</v>
      </c>
    </row>
    <row r="66" spans="1:7" x14ac:dyDescent="0.25">
      <c r="A66" s="1" t="s">
        <v>238</v>
      </c>
      <c r="B66" s="1" t="s">
        <v>239</v>
      </c>
      <c r="C66" s="1" t="s">
        <v>240</v>
      </c>
      <c r="D66" s="1" t="s">
        <v>49</v>
      </c>
      <c r="E66" s="1" t="s">
        <v>65</v>
      </c>
      <c r="F66" s="1" t="s">
        <v>603</v>
      </c>
      <c r="G66" s="1" t="s">
        <v>19</v>
      </c>
    </row>
    <row r="67" spans="1:7" x14ac:dyDescent="0.25">
      <c r="A67" s="1" t="s">
        <v>241</v>
      </c>
      <c r="B67" s="1" t="s">
        <v>242</v>
      </c>
      <c r="C67" s="1" t="s">
        <v>243</v>
      </c>
      <c r="D67" s="1" t="s">
        <v>49</v>
      </c>
      <c r="E67" s="1" t="s">
        <v>41</v>
      </c>
      <c r="F67" s="1" t="s">
        <v>604</v>
      </c>
      <c r="G67" s="1" t="s">
        <v>26</v>
      </c>
    </row>
    <row r="68" spans="1:7" x14ac:dyDescent="0.25">
      <c r="A68" s="1" t="s">
        <v>244</v>
      </c>
      <c r="B68" s="1" t="s">
        <v>245</v>
      </c>
      <c r="C68" s="1" t="s">
        <v>246</v>
      </c>
      <c r="D68" s="1" t="s">
        <v>69</v>
      </c>
      <c r="E68" s="1" t="s">
        <v>17</v>
      </c>
      <c r="F68" s="1" t="s">
        <v>605</v>
      </c>
      <c r="G68" s="1" t="s">
        <v>26</v>
      </c>
    </row>
    <row r="69" spans="1:7" x14ac:dyDescent="0.25">
      <c r="A69" s="1" t="s">
        <v>247</v>
      </c>
      <c r="B69" s="1" t="s">
        <v>248</v>
      </c>
      <c r="C69" s="1" t="s">
        <v>249</v>
      </c>
      <c r="D69" s="1" t="s">
        <v>35</v>
      </c>
      <c r="E69" s="1" t="s">
        <v>30</v>
      </c>
      <c r="F69" s="1" t="s">
        <v>606</v>
      </c>
      <c r="G69" s="1" t="s">
        <v>45</v>
      </c>
    </row>
    <row r="70" spans="1:7" x14ac:dyDescent="0.25">
      <c r="A70" s="1" t="s">
        <v>250</v>
      </c>
      <c r="B70" s="1" t="s">
        <v>251</v>
      </c>
      <c r="C70" s="1" t="s">
        <v>252</v>
      </c>
      <c r="D70" s="1" t="s">
        <v>69</v>
      </c>
      <c r="E70" s="1" t="s">
        <v>65</v>
      </c>
      <c r="F70" s="1" t="s">
        <v>607</v>
      </c>
      <c r="G70" s="1" t="s">
        <v>26</v>
      </c>
    </row>
    <row r="71" spans="1:7" x14ac:dyDescent="0.25">
      <c r="A71" s="1" t="s">
        <v>253</v>
      </c>
      <c r="B71" s="1" t="s">
        <v>254</v>
      </c>
      <c r="C71" s="1" t="s">
        <v>255</v>
      </c>
      <c r="D71" s="1" t="s">
        <v>23</v>
      </c>
      <c r="E71" s="1" t="s">
        <v>50</v>
      </c>
      <c r="F71" s="1" t="s">
        <v>608</v>
      </c>
      <c r="G71" s="1" t="s">
        <v>45</v>
      </c>
    </row>
    <row r="72" spans="1:7" x14ac:dyDescent="0.25">
      <c r="A72" s="1" t="s">
        <v>256</v>
      </c>
      <c r="B72" s="1" t="s">
        <v>257</v>
      </c>
      <c r="C72" s="1" t="s">
        <v>258</v>
      </c>
      <c r="D72" s="1" t="s">
        <v>23</v>
      </c>
      <c r="E72" s="1" t="s">
        <v>41</v>
      </c>
      <c r="F72" s="1" t="s">
        <v>609</v>
      </c>
      <c r="G72" s="1" t="s">
        <v>26</v>
      </c>
    </row>
    <row r="73" spans="1:7" x14ac:dyDescent="0.25">
      <c r="A73" s="1" t="s">
        <v>259</v>
      </c>
      <c r="B73" s="1" t="s">
        <v>260</v>
      </c>
      <c r="C73" s="1" t="s">
        <v>261</v>
      </c>
      <c r="D73" s="1" t="s">
        <v>35</v>
      </c>
      <c r="E73" s="1" t="s">
        <v>65</v>
      </c>
      <c r="F73" s="1" t="s">
        <v>610</v>
      </c>
      <c r="G73" s="1" t="s">
        <v>176</v>
      </c>
    </row>
    <row r="74" spans="1:7" x14ac:dyDescent="0.25">
      <c r="A74" s="1" t="s">
        <v>262</v>
      </c>
      <c r="B74" s="1" t="s">
        <v>263</v>
      </c>
      <c r="C74" s="1" t="s">
        <v>264</v>
      </c>
      <c r="D74" s="1" t="s">
        <v>23</v>
      </c>
      <c r="E74" s="1" t="s">
        <v>30</v>
      </c>
      <c r="F74" s="1" t="s">
        <v>611</v>
      </c>
      <c r="G74" s="1" t="s">
        <v>26</v>
      </c>
    </row>
    <row r="75" spans="1:7" x14ac:dyDescent="0.25">
      <c r="A75" s="1" t="s">
        <v>265</v>
      </c>
      <c r="B75" s="1" t="s">
        <v>266</v>
      </c>
      <c r="C75" s="1" t="s">
        <v>267</v>
      </c>
      <c r="D75" s="1" t="s">
        <v>69</v>
      </c>
      <c r="E75" s="1" t="s">
        <v>65</v>
      </c>
      <c r="F75" s="1" t="s">
        <v>612</v>
      </c>
      <c r="G75" s="1" t="s">
        <v>26</v>
      </c>
    </row>
    <row r="76" spans="1:7" x14ac:dyDescent="0.25">
      <c r="A76" s="1" t="s">
        <v>268</v>
      </c>
      <c r="B76" s="1" t="s">
        <v>269</v>
      </c>
      <c r="C76" s="1" t="s">
        <v>270</v>
      </c>
      <c r="D76" s="1" t="s">
        <v>16</v>
      </c>
      <c r="E76" s="1" t="s">
        <v>70</v>
      </c>
      <c r="F76" s="1" t="s">
        <v>613</v>
      </c>
      <c r="G76" s="1" t="s">
        <v>19</v>
      </c>
    </row>
    <row r="77" spans="1:7" x14ac:dyDescent="0.25">
      <c r="A77" s="1" t="s">
        <v>272</v>
      </c>
      <c r="B77" s="1" t="s">
        <v>273</v>
      </c>
      <c r="C77" s="1" t="s">
        <v>274</v>
      </c>
      <c r="D77" s="1" t="s">
        <v>90</v>
      </c>
      <c r="E77" s="1" t="s">
        <v>24</v>
      </c>
      <c r="F77" s="1" t="s">
        <v>614</v>
      </c>
      <c r="G77" s="1" t="s">
        <v>45</v>
      </c>
    </row>
    <row r="78" spans="1:7" x14ac:dyDescent="0.25">
      <c r="A78" s="1" t="s">
        <v>276</v>
      </c>
      <c r="B78" s="1" t="s">
        <v>277</v>
      </c>
      <c r="C78" s="1" t="s">
        <v>278</v>
      </c>
      <c r="D78" s="1" t="s">
        <v>16</v>
      </c>
      <c r="E78" s="1" t="s">
        <v>65</v>
      </c>
      <c r="F78" s="1" t="s">
        <v>615</v>
      </c>
      <c r="G78" s="1" t="s">
        <v>19</v>
      </c>
    </row>
    <row r="79" spans="1:7" x14ac:dyDescent="0.25">
      <c r="A79" s="1" t="s">
        <v>280</v>
      </c>
      <c r="B79" s="1" t="s">
        <v>281</v>
      </c>
      <c r="C79" s="1" t="s">
        <v>282</v>
      </c>
      <c r="D79" s="1" t="s">
        <v>23</v>
      </c>
      <c r="E79" s="1" t="s">
        <v>24</v>
      </c>
      <c r="F79" s="1" t="s">
        <v>616</v>
      </c>
      <c r="G79" s="1" t="s">
        <v>19</v>
      </c>
    </row>
    <row r="80" spans="1:7" x14ac:dyDescent="0.25">
      <c r="A80" s="1" t="s">
        <v>283</v>
      </c>
      <c r="B80" s="1" t="s">
        <v>284</v>
      </c>
      <c r="C80" s="1" t="s">
        <v>285</v>
      </c>
      <c r="D80" s="1" t="s">
        <v>90</v>
      </c>
      <c r="E80" s="1" t="s">
        <v>50</v>
      </c>
      <c r="F80" s="1" t="s">
        <v>617</v>
      </c>
      <c r="G80" s="1" t="s">
        <v>19</v>
      </c>
    </row>
    <row r="81" spans="1:7" x14ac:dyDescent="0.25">
      <c r="A81" s="1" t="s">
        <v>287</v>
      </c>
      <c r="B81" s="1" t="s">
        <v>288</v>
      </c>
      <c r="C81" s="1" t="s">
        <v>289</v>
      </c>
      <c r="D81" s="1" t="s">
        <v>23</v>
      </c>
      <c r="E81" s="1" t="s">
        <v>24</v>
      </c>
      <c r="F81" s="1" t="s">
        <v>618</v>
      </c>
      <c r="G81" s="1" t="s">
        <v>45</v>
      </c>
    </row>
    <row r="82" spans="1:7" x14ac:dyDescent="0.25">
      <c r="A82" s="1" t="s">
        <v>290</v>
      </c>
      <c r="B82" s="1" t="s">
        <v>291</v>
      </c>
      <c r="C82" s="1" t="s">
        <v>292</v>
      </c>
      <c r="D82" s="1" t="s">
        <v>69</v>
      </c>
      <c r="E82" s="1" t="s">
        <v>24</v>
      </c>
      <c r="F82" s="1" t="s">
        <v>619</v>
      </c>
      <c r="G82" s="1" t="s">
        <v>45</v>
      </c>
    </row>
    <row r="83" spans="1:7" x14ac:dyDescent="0.25">
      <c r="A83" s="1" t="s">
        <v>293</v>
      </c>
      <c r="B83" s="1" t="s">
        <v>294</v>
      </c>
      <c r="C83" s="1" t="s">
        <v>295</v>
      </c>
      <c r="D83" s="1" t="s">
        <v>23</v>
      </c>
      <c r="E83" s="1" t="s">
        <v>55</v>
      </c>
      <c r="F83" s="1" t="s">
        <v>620</v>
      </c>
      <c r="G83" s="1" t="s">
        <v>45</v>
      </c>
    </row>
    <row r="84" spans="1:7" x14ac:dyDescent="0.25">
      <c r="A84" s="1" t="s">
        <v>296</v>
      </c>
      <c r="B84" s="1" t="s">
        <v>297</v>
      </c>
      <c r="C84" s="1" t="s">
        <v>298</v>
      </c>
      <c r="D84" s="1" t="s">
        <v>49</v>
      </c>
      <c r="E84" s="1" t="s">
        <v>36</v>
      </c>
      <c r="F84" s="1" t="s">
        <v>621</v>
      </c>
      <c r="G84" s="1" t="s">
        <v>45</v>
      </c>
    </row>
    <row r="85" spans="1:7" x14ac:dyDescent="0.25">
      <c r="A85" s="1" t="s">
        <v>299</v>
      </c>
      <c r="B85" s="1" t="s">
        <v>300</v>
      </c>
      <c r="C85" s="1" t="s">
        <v>301</v>
      </c>
      <c r="D85" s="1" t="s">
        <v>23</v>
      </c>
      <c r="E85" s="1" t="s">
        <v>24</v>
      </c>
      <c r="F85" s="1" t="s">
        <v>622</v>
      </c>
      <c r="G85" s="1" t="s">
        <v>26</v>
      </c>
    </row>
    <row r="86" spans="1:7" x14ac:dyDescent="0.25">
      <c r="A86" s="1" t="s">
        <v>302</v>
      </c>
      <c r="B86" s="1" t="s">
        <v>303</v>
      </c>
      <c r="C86" s="1" t="s">
        <v>304</v>
      </c>
      <c r="D86" s="1" t="s">
        <v>122</v>
      </c>
      <c r="E86" s="1" t="s">
        <v>41</v>
      </c>
      <c r="F86" s="1" t="s">
        <v>623</v>
      </c>
      <c r="G86" s="1" t="s">
        <v>45</v>
      </c>
    </row>
    <row r="87" spans="1:7" x14ac:dyDescent="0.25">
      <c r="A87" s="1" t="s">
        <v>306</v>
      </c>
      <c r="B87" s="1" t="s">
        <v>307</v>
      </c>
      <c r="C87" s="1" t="s">
        <v>308</v>
      </c>
      <c r="D87" s="1" t="s">
        <v>35</v>
      </c>
      <c r="E87" s="1" t="s">
        <v>83</v>
      </c>
      <c r="F87" s="1" t="s">
        <v>624</v>
      </c>
      <c r="G87" s="1" t="s">
        <v>45</v>
      </c>
    </row>
    <row r="88" spans="1:7" x14ac:dyDescent="0.25">
      <c r="A88" s="1" t="s">
        <v>309</v>
      </c>
      <c r="B88" s="1" t="s">
        <v>310</v>
      </c>
      <c r="C88" s="1" t="s">
        <v>311</v>
      </c>
      <c r="D88" s="1" t="s">
        <v>49</v>
      </c>
      <c r="E88" s="1" t="s">
        <v>50</v>
      </c>
      <c r="F88" s="1" t="s">
        <v>625</v>
      </c>
      <c r="G88" s="1" t="s">
        <v>19</v>
      </c>
    </row>
    <row r="89" spans="1:7" x14ac:dyDescent="0.25">
      <c r="A89" s="1" t="s">
        <v>312</v>
      </c>
      <c r="B89" s="1" t="s">
        <v>313</v>
      </c>
      <c r="C89" s="1" t="s">
        <v>314</v>
      </c>
      <c r="D89" s="1" t="s">
        <v>23</v>
      </c>
      <c r="E89" s="1" t="s">
        <v>65</v>
      </c>
      <c r="F89" s="1" t="s">
        <v>626</v>
      </c>
      <c r="G89" s="1" t="s">
        <v>26</v>
      </c>
    </row>
    <row r="90" spans="1:7" x14ac:dyDescent="0.25">
      <c r="A90" s="1" t="s">
        <v>315</v>
      </c>
      <c r="B90" s="1" t="s">
        <v>316</v>
      </c>
      <c r="C90" s="1" t="s">
        <v>317</v>
      </c>
      <c r="D90" s="1" t="s">
        <v>35</v>
      </c>
      <c r="E90" s="1" t="s">
        <v>30</v>
      </c>
      <c r="F90" s="1" t="s">
        <v>627</v>
      </c>
      <c r="G90" s="1" t="s">
        <v>26</v>
      </c>
    </row>
    <row r="91" spans="1:7" x14ac:dyDescent="0.25">
      <c r="A91" s="1" t="s">
        <v>318</v>
      </c>
      <c r="B91" s="1" t="s">
        <v>319</v>
      </c>
      <c r="C91" s="1" t="s">
        <v>320</v>
      </c>
      <c r="D91" s="1" t="s">
        <v>23</v>
      </c>
      <c r="E91" s="1" t="s">
        <v>50</v>
      </c>
      <c r="F91" s="1" t="s">
        <v>628</v>
      </c>
      <c r="G91" s="1" t="s">
        <v>26</v>
      </c>
    </row>
    <row r="92" spans="1:7" x14ac:dyDescent="0.25">
      <c r="A92" s="1" t="s">
        <v>321</v>
      </c>
      <c r="B92" s="1" t="s">
        <v>322</v>
      </c>
      <c r="C92" s="1" t="s">
        <v>323</v>
      </c>
      <c r="D92" s="1" t="s">
        <v>23</v>
      </c>
      <c r="E92" s="1" t="s">
        <v>50</v>
      </c>
      <c r="F92" s="1" t="s">
        <v>629</v>
      </c>
      <c r="G92" s="1" t="s">
        <v>45</v>
      </c>
    </row>
    <row r="93" spans="1:7" x14ac:dyDescent="0.25">
      <c r="A93" s="1" t="s">
        <v>324</v>
      </c>
      <c r="B93" s="1" t="s">
        <v>325</v>
      </c>
      <c r="C93" s="1" t="s">
        <v>326</v>
      </c>
      <c r="D93" s="1" t="s">
        <v>23</v>
      </c>
      <c r="E93" s="1" t="s">
        <v>17</v>
      </c>
      <c r="F93" s="1" t="s">
        <v>630</v>
      </c>
      <c r="G93" s="1" t="s">
        <v>26</v>
      </c>
    </row>
    <row r="94" spans="1:7" x14ac:dyDescent="0.25">
      <c r="A94" s="1" t="s">
        <v>327</v>
      </c>
      <c r="B94" s="1" t="s">
        <v>328</v>
      </c>
      <c r="C94" s="1" t="s">
        <v>329</v>
      </c>
      <c r="D94" s="1" t="s">
        <v>23</v>
      </c>
      <c r="E94" s="1" t="s">
        <v>50</v>
      </c>
      <c r="F94" s="1" t="s">
        <v>631</v>
      </c>
      <c r="G94" s="1" t="s">
        <v>45</v>
      </c>
    </row>
    <row r="95" spans="1:7" x14ac:dyDescent="0.25">
      <c r="A95" s="1" t="s">
        <v>330</v>
      </c>
      <c r="B95" s="1" t="s">
        <v>331</v>
      </c>
      <c r="C95" s="1" t="s">
        <v>332</v>
      </c>
      <c r="D95" s="1" t="s">
        <v>69</v>
      </c>
      <c r="E95" s="1" t="s">
        <v>36</v>
      </c>
      <c r="F95" s="1" t="s">
        <v>632</v>
      </c>
      <c r="G95" s="1" t="s">
        <v>26</v>
      </c>
    </row>
    <row r="96" spans="1:7" x14ac:dyDescent="0.25">
      <c r="A96" s="1" t="s">
        <v>333</v>
      </c>
      <c r="B96" s="1" t="s">
        <v>334</v>
      </c>
      <c r="C96" s="1" t="s">
        <v>335</v>
      </c>
      <c r="D96" s="1" t="s">
        <v>16</v>
      </c>
      <c r="E96" s="1" t="s">
        <v>36</v>
      </c>
      <c r="F96" s="1" t="s">
        <v>633</v>
      </c>
      <c r="G96" s="1" t="s">
        <v>45</v>
      </c>
    </row>
    <row r="97" spans="1:7" x14ac:dyDescent="0.25">
      <c r="A97" s="1" t="s">
        <v>337</v>
      </c>
      <c r="B97" s="1" t="s">
        <v>338</v>
      </c>
      <c r="C97" s="1" t="s">
        <v>339</v>
      </c>
      <c r="D97" s="1" t="s">
        <v>49</v>
      </c>
      <c r="E97" s="1" t="s">
        <v>65</v>
      </c>
      <c r="F97" s="1" t="s">
        <v>634</v>
      </c>
      <c r="G97" s="1" t="s">
        <v>45</v>
      </c>
    </row>
    <row r="98" spans="1:7" x14ac:dyDescent="0.25">
      <c r="A98" s="1" t="s">
        <v>340</v>
      </c>
      <c r="B98" s="1" t="s">
        <v>341</v>
      </c>
      <c r="C98" s="1" t="s">
        <v>342</v>
      </c>
      <c r="D98" s="1" t="s">
        <v>16</v>
      </c>
      <c r="E98" s="1" t="s">
        <v>17</v>
      </c>
      <c r="F98" s="1" t="s">
        <v>635</v>
      </c>
      <c r="G98" s="1" t="s">
        <v>26</v>
      </c>
    </row>
    <row r="99" spans="1:7" x14ac:dyDescent="0.25">
      <c r="A99" s="1" t="s">
        <v>344</v>
      </c>
      <c r="B99" s="1" t="s">
        <v>345</v>
      </c>
      <c r="C99" s="1" t="s">
        <v>346</v>
      </c>
      <c r="D99" s="1" t="s">
        <v>49</v>
      </c>
      <c r="E99" s="1" t="s">
        <v>41</v>
      </c>
      <c r="F99" s="1" t="s">
        <v>636</v>
      </c>
      <c r="G99" s="1" t="s">
        <v>45</v>
      </c>
    </row>
    <row r="100" spans="1:7" x14ac:dyDescent="0.25">
      <c r="A100" s="1" t="s">
        <v>347</v>
      </c>
      <c r="B100" s="1" t="s">
        <v>348</v>
      </c>
      <c r="C100" s="1" t="s">
        <v>349</v>
      </c>
      <c r="D100" s="1" t="s">
        <v>35</v>
      </c>
      <c r="E100" s="1" t="s">
        <v>50</v>
      </c>
      <c r="F100" s="1" t="s">
        <v>637</v>
      </c>
      <c r="G100" s="1" t="s">
        <v>45</v>
      </c>
    </row>
    <row r="101" spans="1:7" x14ac:dyDescent="0.25">
      <c r="A101" s="1" t="s">
        <v>350</v>
      </c>
      <c r="B101" s="1" t="s">
        <v>351</v>
      </c>
      <c r="C101" s="1" t="s">
        <v>352</v>
      </c>
      <c r="D101" s="1" t="s">
        <v>23</v>
      </c>
      <c r="E101" s="1" t="s">
        <v>24</v>
      </c>
      <c r="F101" s="1" t="s">
        <v>638</v>
      </c>
      <c r="G101" s="1" t="s">
        <v>19</v>
      </c>
    </row>
    <row r="102" spans="1:7" x14ac:dyDescent="0.25">
      <c r="A102" s="1" t="s">
        <v>353</v>
      </c>
      <c r="B102" s="1" t="s">
        <v>354</v>
      </c>
      <c r="C102" s="1" t="s">
        <v>355</v>
      </c>
      <c r="D102" s="1" t="s">
        <v>35</v>
      </c>
      <c r="E102" s="1" t="s">
        <v>41</v>
      </c>
      <c r="F102" s="1" t="s">
        <v>639</v>
      </c>
      <c r="G102" s="1" t="s">
        <v>26</v>
      </c>
    </row>
    <row r="103" spans="1:7" x14ac:dyDescent="0.25">
      <c r="A103" s="1" t="s">
        <v>356</v>
      </c>
      <c r="B103" s="1" t="s">
        <v>357</v>
      </c>
      <c r="C103" s="1" t="s">
        <v>358</v>
      </c>
      <c r="D103" s="1" t="s">
        <v>23</v>
      </c>
      <c r="E103" s="1" t="s">
        <v>50</v>
      </c>
      <c r="F103" s="1" t="s">
        <v>640</v>
      </c>
      <c r="G103" s="1" t="s">
        <v>176</v>
      </c>
    </row>
    <row r="104" spans="1:7" x14ac:dyDescent="0.25">
      <c r="A104" s="1" t="s">
        <v>359</v>
      </c>
      <c r="B104" s="1" t="s">
        <v>360</v>
      </c>
      <c r="C104" s="1" t="s">
        <v>361</v>
      </c>
      <c r="D104" s="1" t="s">
        <v>23</v>
      </c>
      <c r="E104" s="1" t="s">
        <v>65</v>
      </c>
      <c r="F104" s="1" t="s">
        <v>641</v>
      </c>
      <c r="G104" s="1" t="s">
        <v>26</v>
      </c>
    </row>
    <row r="105" spans="1:7" x14ac:dyDescent="0.25">
      <c r="A105" s="1" t="s">
        <v>362</v>
      </c>
      <c r="B105" s="1" t="s">
        <v>363</v>
      </c>
      <c r="C105" s="1" t="s">
        <v>308</v>
      </c>
      <c r="D105" s="1" t="s">
        <v>16</v>
      </c>
      <c r="E105" s="1" t="s">
        <v>50</v>
      </c>
      <c r="F105" s="1" t="s">
        <v>642</v>
      </c>
      <c r="G105" s="1" t="s">
        <v>45</v>
      </c>
    </row>
    <row r="106" spans="1:7" x14ac:dyDescent="0.25">
      <c r="A106" s="1" t="s">
        <v>365</v>
      </c>
      <c r="B106" s="1" t="s">
        <v>366</v>
      </c>
      <c r="C106" s="1" t="s">
        <v>367</v>
      </c>
      <c r="D106" s="1" t="s">
        <v>23</v>
      </c>
      <c r="E106" s="1" t="s">
        <v>83</v>
      </c>
      <c r="F106" s="1" t="s">
        <v>643</v>
      </c>
      <c r="G106" s="1" t="s">
        <v>26</v>
      </c>
    </row>
    <row r="107" spans="1:7" x14ac:dyDescent="0.25">
      <c r="A107" s="1" t="s">
        <v>368</v>
      </c>
      <c r="B107" s="1" t="s">
        <v>369</v>
      </c>
      <c r="C107" s="1" t="s">
        <v>370</v>
      </c>
      <c r="D107" s="1" t="s">
        <v>122</v>
      </c>
      <c r="E107" s="1" t="s">
        <v>83</v>
      </c>
      <c r="F107" s="1" t="s">
        <v>644</v>
      </c>
      <c r="G107" s="1" t="s">
        <v>19</v>
      </c>
    </row>
    <row r="108" spans="1:7" x14ac:dyDescent="0.25">
      <c r="A108" s="1" t="s">
        <v>372</v>
      </c>
      <c r="B108" s="1" t="s">
        <v>373</v>
      </c>
      <c r="C108" s="1" t="s">
        <v>374</v>
      </c>
      <c r="D108" s="1" t="s">
        <v>69</v>
      </c>
      <c r="E108" s="1" t="s">
        <v>70</v>
      </c>
      <c r="F108" s="1" t="s">
        <v>645</v>
      </c>
      <c r="G108" s="1" t="s">
        <v>45</v>
      </c>
    </row>
    <row r="109" spans="1:7" x14ac:dyDescent="0.25">
      <c r="A109" s="1" t="s">
        <v>375</v>
      </c>
      <c r="B109" s="1" t="s">
        <v>376</v>
      </c>
      <c r="C109" s="1" t="s">
        <v>377</v>
      </c>
      <c r="D109" s="1" t="s">
        <v>122</v>
      </c>
      <c r="E109" s="1" t="s">
        <v>30</v>
      </c>
      <c r="F109" s="1" t="s">
        <v>646</v>
      </c>
      <c r="G109" s="1" t="s">
        <v>26</v>
      </c>
    </row>
    <row r="110" spans="1:7" x14ac:dyDescent="0.25">
      <c r="A110" s="1" t="s">
        <v>379</v>
      </c>
      <c r="B110" s="1" t="s">
        <v>380</v>
      </c>
      <c r="C110" s="1" t="s">
        <v>381</v>
      </c>
      <c r="D110" s="1" t="s">
        <v>35</v>
      </c>
      <c r="E110" s="1" t="s">
        <v>24</v>
      </c>
      <c r="F110" s="1" t="s">
        <v>647</v>
      </c>
      <c r="G110" s="1" t="s">
        <v>45</v>
      </c>
    </row>
    <row r="111" spans="1:7" x14ac:dyDescent="0.25">
      <c r="A111" s="1" t="s">
        <v>382</v>
      </c>
      <c r="B111" s="1" t="s">
        <v>383</v>
      </c>
      <c r="C111" s="1" t="s">
        <v>384</v>
      </c>
      <c r="D111" s="1" t="s">
        <v>35</v>
      </c>
      <c r="E111" s="1" t="s">
        <v>30</v>
      </c>
      <c r="F111" s="1" t="s">
        <v>648</v>
      </c>
      <c r="G111" s="1" t="s">
        <v>19</v>
      </c>
    </row>
    <row r="112" spans="1:7" x14ac:dyDescent="0.25">
      <c r="A112" s="1" t="s">
        <v>385</v>
      </c>
      <c r="B112" s="1" t="s">
        <v>386</v>
      </c>
      <c r="C112" s="1" t="s">
        <v>387</v>
      </c>
      <c r="D112" s="1" t="s">
        <v>23</v>
      </c>
      <c r="E112" s="1" t="s">
        <v>30</v>
      </c>
      <c r="F112" s="1" t="s">
        <v>649</v>
      </c>
      <c r="G112" s="1" t="s">
        <v>45</v>
      </c>
    </row>
    <row r="113" spans="1:7" x14ac:dyDescent="0.25">
      <c r="A113" s="1" t="s">
        <v>388</v>
      </c>
      <c r="B113" s="1" t="s">
        <v>389</v>
      </c>
      <c r="C113" s="1" t="s">
        <v>390</v>
      </c>
      <c r="D113" s="1" t="s">
        <v>49</v>
      </c>
      <c r="E113" s="1" t="s">
        <v>65</v>
      </c>
      <c r="F113" s="1" t="s">
        <v>650</v>
      </c>
      <c r="G113" s="1" t="s">
        <v>19</v>
      </c>
    </row>
    <row r="114" spans="1:7" x14ac:dyDescent="0.25">
      <c r="A114" s="1" t="s">
        <v>391</v>
      </c>
      <c r="B114" s="1" t="s">
        <v>392</v>
      </c>
      <c r="C114" s="1" t="s">
        <v>393</v>
      </c>
      <c r="D114" s="1" t="s">
        <v>23</v>
      </c>
      <c r="E114" s="1" t="s">
        <v>30</v>
      </c>
      <c r="F114" s="1" t="s">
        <v>651</v>
      </c>
      <c r="G114" s="1" t="s">
        <v>45</v>
      </c>
    </row>
    <row r="115" spans="1:7" x14ac:dyDescent="0.25">
      <c r="A115" s="1" t="s">
        <v>394</v>
      </c>
      <c r="B115" s="1" t="s">
        <v>395</v>
      </c>
      <c r="C115" s="1" t="s">
        <v>396</v>
      </c>
      <c r="D115" s="1" t="s">
        <v>90</v>
      </c>
      <c r="E115" s="1" t="s">
        <v>24</v>
      </c>
      <c r="F115" s="1" t="s">
        <v>652</v>
      </c>
      <c r="G115" s="1" t="s">
        <v>45</v>
      </c>
    </row>
    <row r="116" spans="1:7" x14ac:dyDescent="0.25">
      <c r="A116" s="1" t="s">
        <v>398</v>
      </c>
      <c r="B116" s="1" t="s">
        <v>399</v>
      </c>
      <c r="C116" s="1" t="s">
        <v>400</v>
      </c>
      <c r="D116" s="1" t="s">
        <v>35</v>
      </c>
      <c r="E116" s="1" t="s">
        <v>36</v>
      </c>
      <c r="F116" s="1" t="s">
        <v>653</v>
      </c>
      <c r="G116" s="1" t="s">
        <v>19</v>
      </c>
    </row>
    <row r="117" spans="1:7" x14ac:dyDescent="0.25">
      <c r="A117" s="1" t="s">
        <v>401</v>
      </c>
      <c r="B117" s="1" t="s">
        <v>402</v>
      </c>
      <c r="C117" s="1" t="s">
        <v>403</v>
      </c>
      <c r="D117" s="1" t="s">
        <v>16</v>
      </c>
      <c r="E117" s="1" t="s">
        <v>41</v>
      </c>
      <c r="F117" s="1" t="s">
        <v>654</v>
      </c>
      <c r="G117" s="1" t="s">
        <v>26</v>
      </c>
    </row>
    <row r="118" spans="1:7" x14ac:dyDescent="0.25">
      <c r="A118" s="1" t="s">
        <v>405</v>
      </c>
      <c r="B118" s="1" t="s">
        <v>406</v>
      </c>
      <c r="C118" s="1" t="s">
        <v>407</v>
      </c>
      <c r="D118" s="1" t="s">
        <v>49</v>
      </c>
      <c r="E118" s="1" t="s">
        <v>83</v>
      </c>
      <c r="F118" s="1" t="s">
        <v>655</v>
      </c>
      <c r="G118" s="1" t="s">
        <v>45</v>
      </c>
    </row>
    <row r="119" spans="1:7" x14ac:dyDescent="0.25">
      <c r="A119" s="1" t="s">
        <v>408</v>
      </c>
      <c r="B119" s="1" t="s">
        <v>409</v>
      </c>
      <c r="C119" s="1" t="s">
        <v>410</v>
      </c>
      <c r="D119" s="1" t="s">
        <v>23</v>
      </c>
      <c r="E119" s="1" t="s">
        <v>30</v>
      </c>
      <c r="F119" s="1" t="s">
        <v>656</v>
      </c>
      <c r="G119" s="1" t="s">
        <v>26</v>
      </c>
    </row>
    <row r="120" spans="1:7" x14ac:dyDescent="0.25">
      <c r="A120" s="1" t="s">
        <v>411</v>
      </c>
      <c r="B120" s="1" t="s">
        <v>412</v>
      </c>
      <c r="C120" s="1" t="s">
        <v>413</v>
      </c>
      <c r="D120" s="1" t="s">
        <v>49</v>
      </c>
      <c r="E120" s="1" t="s">
        <v>70</v>
      </c>
      <c r="F120" s="1" t="s">
        <v>657</v>
      </c>
      <c r="G120" s="1" t="s">
        <v>26</v>
      </c>
    </row>
    <row r="121" spans="1:7" x14ac:dyDescent="0.25">
      <c r="A121" s="1" t="s">
        <v>414</v>
      </c>
      <c r="B121" s="1" t="s">
        <v>415</v>
      </c>
      <c r="C121" s="1" t="s">
        <v>416</v>
      </c>
      <c r="D121" s="1" t="s">
        <v>122</v>
      </c>
      <c r="E121" s="1" t="s">
        <v>50</v>
      </c>
      <c r="F121" s="1" t="s">
        <v>658</v>
      </c>
      <c r="G121" s="1" t="s">
        <v>45</v>
      </c>
    </row>
    <row r="122" spans="1:7" x14ac:dyDescent="0.25">
      <c r="A122" s="1" t="s">
        <v>418</v>
      </c>
      <c r="B122" s="1" t="s">
        <v>419</v>
      </c>
      <c r="C122" s="1" t="s">
        <v>420</v>
      </c>
      <c r="D122" s="1" t="s">
        <v>35</v>
      </c>
      <c r="E122" s="1" t="s">
        <v>24</v>
      </c>
      <c r="F122" s="1" t="s">
        <v>659</v>
      </c>
      <c r="G122" s="1" t="s">
        <v>26</v>
      </c>
    </row>
    <row r="123" spans="1:7" x14ac:dyDescent="0.25">
      <c r="A123" s="1" t="s">
        <v>421</v>
      </c>
      <c r="B123" s="1" t="s">
        <v>422</v>
      </c>
      <c r="C123" s="1" t="s">
        <v>423</v>
      </c>
      <c r="D123" s="1" t="s">
        <v>16</v>
      </c>
      <c r="E123" s="1" t="s">
        <v>41</v>
      </c>
      <c r="F123" s="1" t="s">
        <v>660</v>
      </c>
      <c r="G123" s="1" t="s">
        <v>26</v>
      </c>
    </row>
    <row r="124" spans="1:7" x14ac:dyDescent="0.25">
      <c r="A124" s="1" t="s">
        <v>425</v>
      </c>
      <c r="B124" s="1" t="s">
        <v>426</v>
      </c>
      <c r="C124" s="1" t="s">
        <v>427</v>
      </c>
      <c r="D124" s="1" t="s">
        <v>49</v>
      </c>
      <c r="E124" s="1" t="s">
        <v>65</v>
      </c>
      <c r="F124" s="1" t="s">
        <v>661</v>
      </c>
      <c r="G124" s="1" t="s">
        <v>26</v>
      </c>
    </row>
    <row r="125" spans="1:7" x14ac:dyDescent="0.25">
      <c r="A125" s="1" t="s">
        <v>428</v>
      </c>
      <c r="B125" s="1" t="s">
        <v>429</v>
      </c>
      <c r="C125" s="1" t="s">
        <v>430</v>
      </c>
      <c r="D125" s="1" t="s">
        <v>23</v>
      </c>
      <c r="E125" s="1" t="s">
        <v>17</v>
      </c>
      <c r="F125" s="1" t="s">
        <v>662</v>
      </c>
      <c r="G125" s="1" t="s">
        <v>26</v>
      </c>
    </row>
    <row r="126" spans="1:7" x14ac:dyDescent="0.25">
      <c r="A126" s="1" t="s">
        <v>431</v>
      </c>
      <c r="B126" s="1" t="s">
        <v>432</v>
      </c>
      <c r="C126" s="1" t="s">
        <v>433</v>
      </c>
      <c r="D126" s="1" t="s">
        <v>69</v>
      </c>
      <c r="E126" s="1" t="s">
        <v>24</v>
      </c>
      <c r="F126" s="1" t="s">
        <v>663</v>
      </c>
      <c r="G126" s="1" t="s">
        <v>26</v>
      </c>
    </row>
    <row r="127" spans="1:7" x14ac:dyDescent="0.25">
      <c r="A127" s="1" t="s">
        <v>434</v>
      </c>
      <c r="B127" s="1" t="s">
        <v>435</v>
      </c>
      <c r="C127" s="1" t="s">
        <v>68</v>
      </c>
      <c r="D127" s="1" t="s">
        <v>122</v>
      </c>
      <c r="E127" s="1" t="s">
        <v>83</v>
      </c>
      <c r="F127" s="1" t="s">
        <v>664</v>
      </c>
      <c r="G127" s="1" t="s">
        <v>26</v>
      </c>
    </row>
    <row r="128" spans="1:7" x14ac:dyDescent="0.25">
      <c r="A128" s="1" t="s">
        <v>437</v>
      </c>
      <c r="B128" s="1" t="s">
        <v>438</v>
      </c>
      <c r="C128" s="1" t="s">
        <v>439</v>
      </c>
      <c r="D128" s="1" t="s">
        <v>122</v>
      </c>
      <c r="E128" s="1" t="s">
        <v>36</v>
      </c>
      <c r="F128" s="1" t="s">
        <v>665</v>
      </c>
      <c r="G128" s="1" t="s">
        <v>26</v>
      </c>
    </row>
    <row r="129" spans="1:7" x14ac:dyDescent="0.25">
      <c r="A129" s="1" t="s">
        <v>441</v>
      </c>
      <c r="B129" s="1" t="s">
        <v>442</v>
      </c>
      <c r="C129" s="1" t="s">
        <v>443</v>
      </c>
      <c r="D129" s="1" t="s">
        <v>35</v>
      </c>
      <c r="E129" s="1" t="s">
        <v>50</v>
      </c>
      <c r="F129" s="1" t="s">
        <v>666</v>
      </c>
      <c r="G129" s="1" t="s">
        <v>45</v>
      </c>
    </row>
    <row r="130" spans="1:7" x14ac:dyDescent="0.25">
      <c r="A130" s="1" t="s">
        <v>444</v>
      </c>
      <c r="B130" s="1" t="s">
        <v>445</v>
      </c>
      <c r="C130" s="1" t="s">
        <v>446</v>
      </c>
      <c r="D130" s="1" t="s">
        <v>23</v>
      </c>
      <c r="E130" s="1" t="s">
        <v>83</v>
      </c>
      <c r="F130" s="1" t="s">
        <v>667</v>
      </c>
      <c r="G130" s="1" t="s">
        <v>45</v>
      </c>
    </row>
    <row r="131" spans="1:7" x14ac:dyDescent="0.25">
      <c r="A131" s="1" t="s">
        <v>447</v>
      </c>
      <c r="B131" s="1" t="s">
        <v>448</v>
      </c>
      <c r="C131" s="1" t="s">
        <v>449</v>
      </c>
      <c r="D131" s="1" t="s">
        <v>69</v>
      </c>
      <c r="E131" s="1" t="s">
        <v>30</v>
      </c>
      <c r="F131" s="1" t="s">
        <v>668</v>
      </c>
      <c r="G131" s="1" t="s">
        <v>19</v>
      </c>
    </row>
    <row r="132" spans="1:7" x14ac:dyDescent="0.25">
      <c r="A132" s="1" t="s">
        <v>450</v>
      </c>
      <c r="B132" s="1" t="s">
        <v>451</v>
      </c>
      <c r="C132" s="1" t="s">
        <v>452</v>
      </c>
      <c r="D132" s="1" t="s">
        <v>16</v>
      </c>
      <c r="E132" s="1" t="s">
        <v>24</v>
      </c>
      <c r="F132" s="1" t="s">
        <v>669</v>
      </c>
      <c r="G132" s="1" t="s">
        <v>26</v>
      </c>
    </row>
    <row r="133" spans="1:7" x14ac:dyDescent="0.25">
      <c r="A133" s="1" t="s">
        <v>454</v>
      </c>
      <c r="B133" s="1" t="s">
        <v>455</v>
      </c>
      <c r="C133" s="1" t="s">
        <v>456</v>
      </c>
      <c r="D133" s="1" t="s">
        <v>122</v>
      </c>
      <c r="E133" s="1" t="s">
        <v>55</v>
      </c>
      <c r="F133" s="1" t="s">
        <v>670</v>
      </c>
      <c r="G133" s="1" t="s">
        <v>45</v>
      </c>
    </row>
    <row r="134" spans="1:7" x14ac:dyDescent="0.25">
      <c r="A134" s="1" t="s">
        <v>458</v>
      </c>
      <c r="B134" s="1" t="s">
        <v>459</v>
      </c>
      <c r="C134" s="1" t="s">
        <v>460</v>
      </c>
      <c r="D134" s="1" t="s">
        <v>122</v>
      </c>
      <c r="E134" s="1" t="s">
        <v>30</v>
      </c>
      <c r="F134" s="1" t="s">
        <v>671</v>
      </c>
      <c r="G134" s="1" t="s">
        <v>45</v>
      </c>
    </row>
    <row r="135" spans="1:7" x14ac:dyDescent="0.25">
      <c r="A135" s="1" t="s">
        <v>462</v>
      </c>
      <c r="B135" s="1" t="s">
        <v>463</v>
      </c>
      <c r="C135" s="1" t="s">
        <v>464</v>
      </c>
      <c r="D135" s="1" t="s">
        <v>16</v>
      </c>
      <c r="E135" s="1" t="s">
        <v>65</v>
      </c>
      <c r="F135" s="1" t="s">
        <v>672</v>
      </c>
      <c r="G135" s="1" t="s">
        <v>45</v>
      </c>
    </row>
    <row r="136" spans="1:7" x14ac:dyDescent="0.25">
      <c r="A136" s="1" t="s">
        <v>466</v>
      </c>
      <c r="B136" s="1" t="s">
        <v>467</v>
      </c>
      <c r="C136" s="1" t="s">
        <v>468</v>
      </c>
      <c r="D136" s="1" t="s">
        <v>49</v>
      </c>
      <c r="E136" s="1" t="s">
        <v>36</v>
      </c>
      <c r="F136" s="1" t="s">
        <v>673</v>
      </c>
      <c r="G136" s="1" t="s">
        <v>19</v>
      </c>
    </row>
    <row r="137" spans="1:7" x14ac:dyDescent="0.25">
      <c r="A137" s="1" t="s">
        <v>469</v>
      </c>
      <c r="B137" s="1" t="s">
        <v>470</v>
      </c>
      <c r="C137" s="1" t="s">
        <v>471</v>
      </c>
      <c r="D137" s="1" t="s">
        <v>16</v>
      </c>
      <c r="E137" s="1" t="s">
        <v>50</v>
      </c>
      <c r="F137" s="1" t="s">
        <v>674</v>
      </c>
      <c r="G137" s="1" t="s">
        <v>45</v>
      </c>
    </row>
    <row r="138" spans="1:7" x14ac:dyDescent="0.25">
      <c r="A138" s="1" t="s">
        <v>473</v>
      </c>
      <c r="B138" s="1" t="s">
        <v>474</v>
      </c>
      <c r="C138" s="1" t="s">
        <v>475</v>
      </c>
      <c r="D138" s="1" t="s">
        <v>90</v>
      </c>
      <c r="E138" s="1" t="s">
        <v>55</v>
      </c>
      <c r="F138" s="1" t="s">
        <v>675</v>
      </c>
      <c r="G138" s="1" t="s">
        <v>45</v>
      </c>
    </row>
    <row r="139" spans="1:7" x14ac:dyDescent="0.25">
      <c r="A139" s="1" t="s">
        <v>477</v>
      </c>
      <c r="B139" s="1" t="s">
        <v>478</v>
      </c>
      <c r="C139" s="1" t="s">
        <v>479</v>
      </c>
      <c r="D139" s="1" t="s">
        <v>35</v>
      </c>
      <c r="E139" s="1" t="s">
        <v>55</v>
      </c>
      <c r="F139" s="1" t="s">
        <v>676</v>
      </c>
      <c r="G139" s="1" t="s">
        <v>45</v>
      </c>
    </row>
    <row r="140" spans="1:7" x14ac:dyDescent="0.25">
      <c r="A140" s="1" t="s">
        <v>480</v>
      </c>
      <c r="B140" s="1" t="s">
        <v>481</v>
      </c>
      <c r="C140" s="1" t="s">
        <v>482</v>
      </c>
      <c r="D140" s="1" t="s">
        <v>35</v>
      </c>
      <c r="E140" s="1" t="s">
        <v>24</v>
      </c>
      <c r="F140" s="1" t="s">
        <v>677</v>
      </c>
      <c r="G140" s="1" t="s">
        <v>45</v>
      </c>
    </row>
    <row r="141" spans="1:7" x14ac:dyDescent="0.25">
      <c r="A141" s="1" t="s">
        <v>483</v>
      </c>
      <c r="B141" s="1" t="s">
        <v>484</v>
      </c>
      <c r="C141" s="1" t="s">
        <v>485</v>
      </c>
      <c r="D141" s="1" t="s">
        <v>23</v>
      </c>
      <c r="E141" s="1" t="s">
        <v>17</v>
      </c>
      <c r="F141" s="1" t="s">
        <v>678</v>
      </c>
      <c r="G141" s="1" t="s">
        <v>26</v>
      </c>
    </row>
    <row r="142" spans="1:7" x14ac:dyDescent="0.25">
      <c r="A142" s="1" t="s">
        <v>486</v>
      </c>
      <c r="B142" s="1" t="s">
        <v>487</v>
      </c>
      <c r="C142" s="1" t="s">
        <v>488</v>
      </c>
      <c r="D142" s="1" t="s">
        <v>69</v>
      </c>
      <c r="E142" s="1" t="s">
        <v>55</v>
      </c>
      <c r="F142" s="1" t="s">
        <v>679</v>
      </c>
      <c r="G142" s="1" t="s">
        <v>45</v>
      </c>
    </row>
    <row r="143" spans="1:7" x14ac:dyDescent="0.25">
      <c r="A143" s="1" t="s">
        <v>489</v>
      </c>
      <c r="B143" s="1" t="s">
        <v>490</v>
      </c>
      <c r="C143" s="1" t="s">
        <v>491</v>
      </c>
      <c r="D143" s="1" t="s">
        <v>35</v>
      </c>
      <c r="E143" s="1" t="s">
        <v>70</v>
      </c>
      <c r="F143" s="1" t="s">
        <v>680</v>
      </c>
      <c r="G143" s="1" t="s">
        <v>26</v>
      </c>
    </row>
    <row r="144" spans="1:7" x14ac:dyDescent="0.25">
      <c r="A144" s="1" t="s">
        <v>492</v>
      </c>
      <c r="B144" s="1" t="s">
        <v>493</v>
      </c>
      <c r="C144" s="1" t="s">
        <v>494</v>
      </c>
      <c r="D144" s="1" t="s">
        <v>35</v>
      </c>
      <c r="E144" s="1" t="s">
        <v>17</v>
      </c>
      <c r="F144" s="1" t="s">
        <v>681</v>
      </c>
      <c r="G144" s="1" t="s">
        <v>26</v>
      </c>
    </row>
    <row r="145" spans="1:7" x14ac:dyDescent="0.25">
      <c r="A145" s="1" t="s">
        <v>495</v>
      </c>
      <c r="B145" s="1" t="s">
        <v>496</v>
      </c>
      <c r="C145" s="1" t="s">
        <v>497</v>
      </c>
      <c r="D145" s="1" t="s">
        <v>69</v>
      </c>
      <c r="E145" s="1" t="s">
        <v>41</v>
      </c>
      <c r="F145" s="1" t="s">
        <v>682</v>
      </c>
      <c r="G145" s="1" t="s">
        <v>26</v>
      </c>
    </row>
    <row r="146" spans="1:7" x14ac:dyDescent="0.25">
      <c r="A146" s="1" t="s">
        <v>498</v>
      </c>
      <c r="B146" s="1" t="s">
        <v>499</v>
      </c>
      <c r="C146" s="1" t="s">
        <v>500</v>
      </c>
      <c r="D146" s="1" t="s">
        <v>35</v>
      </c>
      <c r="E146" s="1" t="s">
        <v>36</v>
      </c>
      <c r="F146" s="1" t="s">
        <v>683</v>
      </c>
      <c r="G146" s="1" t="s">
        <v>45</v>
      </c>
    </row>
    <row r="147" spans="1:7" x14ac:dyDescent="0.25">
      <c r="A147" s="1" t="s">
        <v>501</v>
      </c>
      <c r="B147" s="1" t="s">
        <v>502</v>
      </c>
      <c r="C147" s="1" t="s">
        <v>503</v>
      </c>
      <c r="D147" s="1" t="s">
        <v>23</v>
      </c>
      <c r="E147" s="1" t="s">
        <v>70</v>
      </c>
      <c r="F147" s="1" t="s">
        <v>684</v>
      </c>
      <c r="G147" s="1" t="s">
        <v>26</v>
      </c>
    </row>
    <row r="148" spans="1:7" x14ac:dyDescent="0.25">
      <c r="A148" s="1" t="s">
        <v>504</v>
      </c>
      <c r="B148" s="1" t="s">
        <v>505</v>
      </c>
      <c r="C148" s="1" t="s">
        <v>506</v>
      </c>
      <c r="D148" s="1" t="s">
        <v>122</v>
      </c>
      <c r="E148" s="1" t="s">
        <v>36</v>
      </c>
      <c r="F148" s="1" t="s">
        <v>685</v>
      </c>
      <c r="G148" s="1" t="s">
        <v>176</v>
      </c>
    </row>
    <row r="149" spans="1:7" x14ac:dyDescent="0.25">
      <c r="A149" s="1" t="s">
        <v>508</v>
      </c>
      <c r="B149" s="1" t="s">
        <v>509</v>
      </c>
      <c r="C149" s="1" t="s">
        <v>510</v>
      </c>
      <c r="D149" s="1" t="s">
        <v>69</v>
      </c>
      <c r="E149" s="1" t="s">
        <v>55</v>
      </c>
      <c r="F149" s="1" t="s">
        <v>686</v>
      </c>
      <c r="G149" s="1" t="s">
        <v>19</v>
      </c>
    </row>
    <row r="150" spans="1:7" x14ac:dyDescent="0.25">
      <c r="A150" s="1" t="s">
        <v>511</v>
      </c>
      <c r="B150" s="1" t="s">
        <v>512</v>
      </c>
      <c r="C150" s="1" t="s">
        <v>513</v>
      </c>
      <c r="D150" s="1" t="s">
        <v>90</v>
      </c>
      <c r="E150" s="1" t="s">
        <v>36</v>
      </c>
      <c r="F150" s="1" t="s">
        <v>687</v>
      </c>
      <c r="G150" s="1" t="s">
        <v>45</v>
      </c>
    </row>
    <row r="151" spans="1:7" x14ac:dyDescent="0.25">
      <c r="A151" s="1" t="s">
        <v>515</v>
      </c>
      <c r="B151" s="1" t="s">
        <v>516</v>
      </c>
      <c r="C151" s="1" t="s">
        <v>517</v>
      </c>
      <c r="D151" s="1" t="s">
        <v>16</v>
      </c>
      <c r="E151" s="1" t="s">
        <v>65</v>
      </c>
      <c r="F151" s="1" t="s">
        <v>688</v>
      </c>
      <c r="G151" s="1" t="s">
        <v>26</v>
      </c>
    </row>
    <row r="152" spans="1:7" x14ac:dyDescent="0.25">
      <c r="A152" s="1" t="s">
        <v>519</v>
      </c>
      <c r="B152" s="1" t="s">
        <v>520</v>
      </c>
      <c r="C152" s="1" t="s">
        <v>521</v>
      </c>
      <c r="D152" s="1" t="s">
        <v>35</v>
      </c>
      <c r="E152" s="1" t="s">
        <v>17</v>
      </c>
      <c r="F152" s="1" t="s">
        <v>689</v>
      </c>
      <c r="G152"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selection activeCell="I5" sqref="I5"/>
    </sheetView>
  </sheetViews>
  <sheetFormatPr defaultRowHeight="15" x14ac:dyDescent="0.25"/>
  <cols>
    <col min="1" max="1" width="11.5703125" bestFit="1" customWidth="1"/>
    <col min="2" max="2" width="18.42578125" bestFit="1" customWidth="1"/>
    <col min="3" max="3" width="17.5703125" bestFit="1" customWidth="1"/>
    <col min="4" max="4" width="10.85546875" bestFit="1" customWidth="1"/>
    <col min="5" max="5" width="18.42578125" bestFit="1" customWidth="1"/>
    <col min="6" max="6" width="59.85546875" bestFit="1" customWidth="1"/>
    <col min="7" max="7" width="9.85546875" bestFit="1" customWidth="1"/>
    <col min="8" max="8" width="20.140625" customWidth="1"/>
  </cols>
  <sheetData>
    <row r="1" spans="1:8" x14ac:dyDescent="0.25">
      <c r="A1" s="1" t="s">
        <v>6</v>
      </c>
      <c r="B1" s="3" t="s">
        <v>7</v>
      </c>
      <c r="C1" s="3" t="s">
        <v>8</v>
      </c>
      <c r="D1" s="1" t="s">
        <v>9</v>
      </c>
      <c r="E1" s="1" t="s">
        <v>10</v>
      </c>
      <c r="F1" s="1" t="s">
        <v>11</v>
      </c>
      <c r="G1" s="1" t="s">
        <v>12</v>
      </c>
      <c r="H1" s="3" t="s">
        <v>522</v>
      </c>
    </row>
    <row r="2" spans="1:8" x14ac:dyDescent="0.25">
      <c r="A2" s="1" t="s">
        <v>13</v>
      </c>
      <c r="B2" s="2" t="s">
        <v>14</v>
      </c>
      <c r="C2" s="2" t="s">
        <v>15</v>
      </c>
      <c r="D2" s="1" t="s">
        <v>16</v>
      </c>
      <c r="E2" s="1" t="s">
        <v>17</v>
      </c>
      <c r="F2" s="1" t="s">
        <v>18</v>
      </c>
      <c r="G2" s="1" t="s">
        <v>19</v>
      </c>
      <c r="H2" s="3">
        <f t="shared" ref="H2:H33" si="0">ABS(C2-B2)</f>
        <v>7.2291666666666685E-3</v>
      </c>
    </row>
    <row r="3" spans="1:8" x14ac:dyDescent="0.25">
      <c r="A3" s="1" t="s">
        <v>20</v>
      </c>
      <c r="B3" s="2" t="s">
        <v>21</v>
      </c>
      <c r="C3" s="2" t="s">
        <v>22</v>
      </c>
      <c r="D3" s="1" t="s">
        <v>23</v>
      </c>
      <c r="E3" s="1" t="s">
        <v>24</v>
      </c>
      <c r="F3" s="1" t="s">
        <v>25</v>
      </c>
      <c r="G3" s="1" t="s">
        <v>26</v>
      </c>
      <c r="H3" s="3">
        <f t="shared" si="0"/>
        <v>6.8668981481481497E-3</v>
      </c>
    </row>
    <row r="4" spans="1:8" x14ac:dyDescent="0.25">
      <c r="A4" s="1" t="s">
        <v>27</v>
      </c>
      <c r="B4" s="2" t="s">
        <v>28</v>
      </c>
      <c r="C4" s="2" t="s">
        <v>29</v>
      </c>
      <c r="D4" s="1" t="s">
        <v>16</v>
      </c>
      <c r="E4" s="1" t="s">
        <v>30</v>
      </c>
      <c r="F4" s="1" t="s">
        <v>31</v>
      </c>
      <c r="G4" s="1" t="s">
        <v>26</v>
      </c>
      <c r="H4" s="3">
        <f t="shared" si="0"/>
        <v>1.2893518518518519E-2</v>
      </c>
    </row>
    <row r="5" spans="1:8" x14ac:dyDescent="0.25">
      <c r="A5" s="1" t="s">
        <v>32</v>
      </c>
      <c r="B5" s="2" t="s">
        <v>33</v>
      </c>
      <c r="C5" s="2" t="s">
        <v>34</v>
      </c>
      <c r="D5" s="1" t="s">
        <v>35</v>
      </c>
      <c r="E5" s="1" t="s">
        <v>36</v>
      </c>
      <c r="F5" s="1" t="s">
        <v>37</v>
      </c>
      <c r="G5" s="1" t="s">
        <v>19</v>
      </c>
      <c r="H5" s="3">
        <f t="shared" si="0"/>
        <v>6.4201388888888884E-3</v>
      </c>
    </row>
    <row r="6" spans="1:8" x14ac:dyDescent="0.25">
      <c r="A6" s="1" t="s">
        <v>38</v>
      </c>
      <c r="B6" s="2" t="s">
        <v>39</v>
      </c>
      <c r="C6" s="2" t="s">
        <v>40</v>
      </c>
      <c r="D6" s="1" t="s">
        <v>23</v>
      </c>
      <c r="E6" s="1" t="s">
        <v>41</v>
      </c>
      <c r="F6" s="1" t="s">
        <v>25</v>
      </c>
      <c r="G6" s="1" t="s">
        <v>19</v>
      </c>
      <c r="H6" s="3">
        <f t="shared" si="0"/>
        <v>4.8449074074074089E-3</v>
      </c>
    </row>
    <row r="7" spans="1:8" x14ac:dyDescent="0.25">
      <c r="A7" s="1" t="s">
        <v>42</v>
      </c>
      <c r="B7" s="2" t="s">
        <v>43</v>
      </c>
      <c r="C7" s="2" t="s">
        <v>44</v>
      </c>
      <c r="D7" s="1" t="s">
        <v>23</v>
      </c>
      <c r="E7" s="1" t="s">
        <v>30</v>
      </c>
      <c r="F7" s="1" t="s">
        <v>25</v>
      </c>
      <c r="G7" s="1" t="s">
        <v>45</v>
      </c>
      <c r="H7" s="3">
        <f t="shared" si="0"/>
        <v>1.3903935185185182E-2</v>
      </c>
    </row>
    <row r="8" spans="1:8" x14ac:dyDescent="0.25">
      <c r="A8" s="1" t="s">
        <v>46</v>
      </c>
      <c r="B8" s="2" t="s">
        <v>47</v>
      </c>
      <c r="C8" s="2" t="s">
        <v>48</v>
      </c>
      <c r="D8" s="1" t="s">
        <v>49</v>
      </c>
      <c r="E8" s="1" t="s">
        <v>50</v>
      </c>
      <c r="F8" s="1" t="s">
        <v>51</v>
      </c>
      <c r="G8" s="1" t="s">
        <v>45</v>
      </c>
      <c r="H8" s="3">
        <f t="shared" si="0"/>
        <v>1.8358796296296293E-2</v>
      </c>
    </row>
    <row r="9" spans="1:8" x14ac:dyDescent="0.25">
      <c r="A9" s="1" t="s">
        <v>52</v>
      </c>
      <c r="B9" s="2" t="s">
        <v>53</v>
      </c>
      <c r="C9" s="2" t="s">
        <v>54</v>
      </c>
      <c r="D9" s="1" t="s">
        <v>23</v>
      </c>
      <c r="E9" s="1" t="s">
        <v>55</v>
      </c>
      <c r="F9" s="1" t="s">
        <v>25</v>
      </c>
      <c r="G9" s="1" t="s">
        <v>45</v>
      </c>
      <c r="H9" s="3">
        <f t="shared" si="0"/>
        <v>1.1903935185185188E-2</v>
      </c>
    </row>
    <row r="10" spans="1:8" x14ac:dyDescent="0.25">
      <c r="A10" s="1" t="s">
        <v>56</v>
      </c>
      <c r="B10" s="2" t="s">
        <v>57</v>
      </c>
      <c r="C10" s="2" t="s">
        <v>58</v>
      </c>
      <c r="D10" s="1" t="s">
        <v>35</v>
      </c>
      <c r="E10" s="1" t="s">
        <v>55</v>
      </c>
      <c r="F10" s="1" t="s">
        <v>37</v>
      </c>
      <c r="G10" s="1" t="s">
        <v>26</v>
      </c>
      <c r="H10" s="3">
        <f t="shared" si="0"/>
        <v>2.552662037037037E-2</v>
      </c>
    </row>
    <row r="11" spans="1:8" x14ac:dyDescent="0.25">
      <c r="A11" s="1" t="s">
        <v>59</v>
      </c>
      <c r="B11" s="2" t="s">
        <v>60</v>
      </c>
      <c r="C11" s="2" t="s">
        <v>61</v>
      </c>
      <c r="D11" s="1" t="s">
        <v>23</v>
      </c>
      <c r="E11" s="1" t="s">
        <v>30</v>
      </c>
      <c r="F11" s="1" t="s">
        <v>25</v>
      </c>
      <c r="G11" s="1" t="s">
        <v>26</v>
      </c>
      <c r="H11" s="3">
        <f t="shared" si="0"/>
        <v>6.299768518518517E-3</v>
      </c>
    </row>
    <row r="12" spans="1:8" x14ac:dyDescent="0.25">
      <c r="A12" s="1" t="s">
        <v>62</v>
      </c>
      <c r="B12" s="2" t="s">
        <v>63</v>
      </c>
      <c r="C12" s="2" t="s">
        <v>64</v>
      </c>
      <c r="D12" s="1" t="s">
        <v>23</v>
      </c>
      <c r="E12" s="1" t="s">
        <v>65</v>
      </c>
      <c r="F12" s="1" t="s">
        <v>25</v>
      </c>
      <c r="G12" s="1" t="s">
        <v>45</v>
      </c>
      <c r="H12" s="3">
        <f t="shared" si="0"/>
        <v>5.8981481481481472E-3</v>
      </c>
    </row>
    <row r="13" spans="1:8" x14ac:dyDescent="0.25">
      <c r="A13" s="1" t="s">
        <v>66</v>
      </c>
      <c r="B13" s="2" t="s">
        <v>67</v>
      </c>
      <c r="C13" s="2" t="s">
        <v>68</v>
      </c>
      <c r="D13" s="1" t="s">
        <v>69</v>
      </c>
      <c r="E13" s="1" t="s">
        <v>70</v>
      </c>
      <c r="F13" s="1" t="s">
        <v>523</v>
      </c>
      <c r="G13" s="1" t="s">
        <v>19</v>
      </c>
      <c r="H13" s="3">
        <f t="shared" si="0"/>
        <v>6.7824074074074037E-3</v>
      </c>
    </row>
    <row r="14" spans="1:8" x14ac:dyDescent="0.25">
      <c r="A14" s="1" t="s">
        <v>71</v>
      </c>
      <c r="B14" s="2" t="s">
        <v>72</v>
      </c>
      <c r="C14" s="2" t="s">
        <v>73</v>
      </c>
      <c r="D14" s="1" t="s">
        <v>69</v>
      </c>
      <c r="E14" s="1" t="s">
        <v>17</v>
      </c>
      <c r="F14" s="1" t="s">
        <v>523</v>
      </c>
      <c r="G14" s="1" t="s">
        <v>26</v>
      </c>
      <c r="H14" s="3">
        <f t="shared" si="0"/>
        <v>4.7928240740740813E-3</v>
      </c>
    </row>
    <row r="15" spans="1:8" x14ac:dyDescent="0.25">
      <c r="A15" s="1" t="s">
        <v>74</v>
      </c>
      <c r="B15" s="2" t="s">
        <v>75</v>
      </c>
      <c r="C15" s="2" t="s">
        <v>76</v>
      </c>
      <c r="D15" s="1" t="s">
        <v>23</v>
      </c>
      <c r="E15" s="1" t="s">
        <v>55</v>
      </c>
      <c r="F15" s="1" t="s">
        <v>25</v>
      </c>
      <c r="G15" s="1" t="s">
        <v>45</v>
      </c>
      <c r="H15" s="3">
        <f t="shared" si="0"/>
        <v>3.1831018518518515E-2</v>
      </c>
    </row>
    <row r="16" spans="1:8" x14ac:dyDescent="0.25">
      <c r="A16" s="1" t="s">
        <v>77</v>
      </c>
      <c r="B16" s="2" t="s">
        <v>78</v>
      </c>
      <c r="C16" s="2" t="s">
        <v>79</v>
      </c>
      <c r="D16" s="1" t="s">
        <v>23</v>
      </c>
      <c r="E16" s="1" t="s">
        <v>24</v>
      </c>
      <c r="F16" s="1" t="s">
        <v>25</v>
      </c>
      <c r="G16" s="1" t="s">
        <v>19</v>
      </c>
      <c r="H16" s="3">
        <f t="shared" si="0"/>
        <v>1.4887731481481483E-2</v>
      </c>
    </row>
    <row r="17" spans="1:8" x14ac:dyDescent="0.25">
      <c r="A17" s="1" t="s">
        <v>80</v>
      </c>
      <c r="B17" s="2" t="s">
        <v>81</v>
      </c>
      <c r="C17" s="2" t="s">
        <v>82</v>
      </c>
      <c r="D17" s="1" t="s">
        <v>23</v>
      </c>
      <c r="E17" s="1" t="s">
        <v>83</v>
      </c>
      <c r="F17" s="1" t="s">
        <v>25</v>
      </c>
      <c r="G17" s="1" t="s">
        <v>19</v>
      </c>
      <c r="H17" s="3">
        <f t="shared" si="0"/>
        <v>9.8298611111111104E-3</v>
      </c>
    </row>
    <row r="18" spans="1:8" x14ac:dyDescent="0.25">
      <c r="A18" s="1" t="s">
        <v>84</v>
      </c>
      <c r="B18" s="2" t="s">
        <v>85</v>
      </c>
      <c r="C18" s="2" t="s">
        <v>86</v>
      </c>
      <c r="D18" s="1" t="s">
        <v>23</v>
      </c>
      <c r="E18" s="1" t="s">
        <v>55</v>
      </c>
      <c r="F18" s="1" t="s">
        <v>25</v>
      </c>
      <c r="G18" s="1" t="s">
        <v>45</v>
      </c>
      <c r="H18" s="3">
        <f t="shared" si="0"/>
        <v>2.3059027777777776E-2</v>
      </c>
    </row>
    <row r="19" spans="1:8" x14ac:dyDescent="0.25">
      <c r="A19" s="1" t="s">
        <v>87</v>
      </c>
      <c r="B19" s="2" t="s">
        <v>88</v>
      </c>
      <c r="C19" s="2" t="s">
        <v>89</v>
      </c>
      <c r="D19" s="1" t="s">
        <v>90</v>
      </c>
      <c r="E19" s="1" t="s">
        <v>17</v>
      </c>
      <c r="F19" s="1" t="s">
        <v>91</v>
      </c>
      <c r="G19" s="1" t="s">
        <v>45</v>
      </c>
      <c r="H19" s="3">
        <f t="shared" si="0"/>
        <v>3.416666666666672E-3</v>
      </c>
    </row>
    <row r="20" spans="1:8" x14ac:dyDescent="0.25">
      <c r="A20" s="1" t="s">
        <v>92</v>
      </c>
      <c r="B20" s="2" t="s">
        <v>93</v>
      </c>
      <c r="C20" s="2" t="s">
        <v>94</v>
      </c>
      <c r="D20" s="1" t="s">
        <v>69</v>
      </c>
      <c r="E20" s="1" t="s">
        <v>36</v>
      </c>
      <c r="F20" s="1" t="s">
        <v>523</v>
      </c>
      <c r="G20" s="1" t="s">
        <v>45</v>
      </c>
      <c r="H20" s="3">
        <f t="shared" si="0"/>
        <v>3.1489583333333335E-2</v>
      </c>
    </row>
    <row r="21" spans="1:8" x14ac:dyDescent="0.25">
      <c r="A21" s="1" t="s">
        <v>95</v>
      </c>
      <c r="B21" s="2" t="s">
        <v>96</v>
      </c>
      <c r="C21" s="2" t="s">
        <v>97</v>
      </c>
      <c r="D21" s="1" t="s">
        <v>35</v>
      </c>
      <c r="E21" s="1" t="s">
        <v>36</v>
      </c>
      <c r="F21" s="1" t="s">
        <v>37</v>
      </c>
      <c r="G21" s="1" t="s">
        <v>26</v>
      </c>
      <c r="H21" s="3">
        <f t="shared" si="0"/>
        <v>2.179976851851852E-2</v>
      </c>
    </row>
    <row r="22" spans="1:8" x14ac:dyDescent="0.25">
      <c r="A22" s="1" t="s">
        <v>98</v>
      </c>
      <c r="B22" s="2" t="s">
        <v>99</v>
      </c>
      <c r="C22" s="2" t="s">
        <v>100</v>
      </c>
      <c r="D22" s="1" t="s">
        <v>23</v>
      </c>
      <c r="E22" s="1" t="s">
        <v>24</v>
      </c>
      <c r="F22" s="1" t="s">
        <v>25</v>
      </c>
      <c r="G22" s="1" t="s">
        <v>26</v>
      </c>
      <c r="H22" s="3">
        <f t="shared" si="0"/>
        <v>2.9831018518518521E-2</v>
      </c>
    </row>
    <row r="23" spans="1:8" x14ac:dyDescent="0.25">
      <c r="A23" s="1" t="s">
        <v>101</v>
      </c>
      <c r="B23" s="2" t="s">
        <v>102</v>
      </c>
      <c r="C23" s="2" t="s">
        <v>103</v>
      </c>
      <c r="D23" s="1" t="s">
        <v>23</v>
      </c>
      <c r="E23" s="1" t="s">
        <v>17</v>
      </c>
      <c r="F23" s="1" t="s">
        <v>25</v>
      </c>
      <c r="G23" s="1" t="s">
        <v>26</v>
      </c>
      <c r="H23" s="3">
        <f t="shared" si="0"/>
        <v>6.7638888888888887E-3</v>
      </c>
    </row>
    <row r="24" spans="1:8" x14ac:dyDescent="0.25">
      <c r="A24" s="1" t="s">
        <v>104</v>
      </c>
      <c r="B24" s="2" t="s">
        <v>105</v>
      </c>
      <c r="C24" s="2" t="s">
        <v>106</v>
      </c>
      <c r="D24" s="1" t="s">
        <v>23</v>
      </c>
      <c r="E24" s="1" t="s">
        <v>65</v>
      </c>
      <c r="F24" s="1" t="s">
        <v>25</v>
      </c>
      <c r="G24" s="1" t="s">
        <v>26</v>
      </c>
      <c r="H24" s="3">
        <f t="shared" si="0"/>
        <v>3.1099537037037016E-3</v>
      </c>
    </row>
    <row r="25" spans="1:8" x14ac:dyDescent="0.25">
      <c r="A25" s="1" t="s">
        <v>107</v>
      </c>
      <c r="B25" s="2" t="s">
        <v>108</v>
      </c>
      <c r="C25" s="2" t="s">
        <v>109</v>
      </c>
      <c r="D25" s="1" t="s">
        <v>23</v>
      </c>
      <c r="E25" s="1" t="s">
        <v>41</v>
      </c>
      <c r="F25" s="1" t="s">
        <v>25</v>
      </c>
      <c r="G25" s="1" t="s">
        <v>26</v>
      </c>
      <c r="H25" s="3">
        <f t="shared" si="0"/>
        <v>2.8703703703703703E-3</v>
      </c>
    </row>
    <row r="26" spans="1:8" x14ac:dyDescent="0.25">
      <c r="A26" s="1" t="s">
        <v>110</v>
      </c>
      <c r="B26" s="2" t="s">
        <v>111</v>
      </c>
      <c r="C26" s="2" t="s">
        <v>112</v>
      </c>
      <c r="D26" s="1" t="s">
        <v>69</v>
      </c>
      <c r="E26" s="1" t="s">
        <v>36</v>
      </c>
      <c r="F26" s="1" t="s">
        <v>523</v>
      </c>
      <c r="G26" s="1" t="s">
        <v>45</v>
      </c>
      <c r="H26" s="3">
        <f t="shared" si="0"/>
        <v>3.4479166666666686E-3</v>
      </c>
    </row>
    <row r="27" spans="1:8" x14ac:dyDescent="0.25">
      <c r="A27" s="1" t="s">
        <v>113</v>
      </c>
      <c r="B27" s="2" t="s">
        <v>114</v>
      </c>
      <c r="C27" s="2" t="s">
        <v>115</v>
      </c>
      <c r="D27" s="1" t="s">
        <v>23</v>
      </c>
      <c r="E27" s="1" t="s">
        <v>24</v>
      </c>
      <c r="F27" s="1" t="s">
        <v>25</v>
      </c>
      <c r="G27" s="1" t="s">
        <v>26</v>
      </c>
      <c r="H27" s="3">
        <f t="shared" si="0"/>
        <v>4.7557870370370306E-3</v>
      </c>
    </row>
    <row r="28" spans="1:8" x14ac:dyDescent="0.25">
      <c r="A28" s="1" t="s">
        <v>116</v>
      </c>
      <c r="B28" s="2" t="s">
        <v>117</v>
      </c>
      <c r="C28" s="2" t="s">
        <v>118</v>
      </c>
      <c r="D28" s="1" t="s">
        <v>69</v>
      </c>
      <c r="E28" s="1" t="s">
        <v>41</v>
      </c>
      <c r="F28" s="1" t="s">
        <v>523</v>
      </c>
      <c r="G28" s="1" t="s">
        <v>19</v>
      </c>
      <c r="H28" s="3">
        <f t="shared" si="0"/>
        <v>8.3252314814814803E-3</v>
      </c>
    </row>
    <row r="29" spans="1:8" x14ac:dyDescent="0.25">
      <c r="A29" s="1" t="s">
        <v>119</v>
      </c>
      <c r="B29" s="2" t="s">
        <v>120</v>
      </c>
      <c r="C29" s="2" t="s">
        <v>121</v>
      </c>
      <c r="D29" s="1" t="s">
        <v>122</v>
      </c>
      <c r="E29" s="1" t="s">
        <v>24</v>
      </c>
      <c r="F29" s="1" t="s">
        <v>123</v>
      </c>
      <c r="G29" s="1" t="s">
        <v>26</v>
      </c>
      <c r="H29" s="3">
        <f t="shared" si="0"/>
        <v>9.6238425925925918E-3</v>
      </c>
    </row>
    <row r="30" spans="1:8" x14ac:dyDescent="0.25">
      <c r="A30" s="1" t="s">
        <v>124</v>
      </c>
      <c r="B30" s="2" t="s">
        <v>125</v>
      </c>
      <c r="C30" s="2" t="s">
        <v>126</v>
      </c>
      <c r="D30" s="1" t="s">
        <v>16</v>
      </c>
      <c r="E30" s="1" t="s">
        <v>17</v>
      </c>
      <c r="F30" s="1" t="s">
        <v>127</v>
      </c>
      <c r="G30" s="1" t="s">
        <v>45</v>
      </c>
      <c r="H30" s="3">
        <f t="shared" si="0"/>
        <v>3.7738425925925925E-2</v>
      </c>
    </row>
    <row r="31" spans="1:8" x14ac:dyDescent="0.25">
      <c r="A31" s="1" t="s">
        <v>128</v>
      </c>
      <c r="B31" s="2" t="s">
        <v>129</v>
      </c>
      <c r="C31" s="2" t="s">
        <v>130</v>
      </c>
      <c r="D31" s="1" t="s">
        <v>23</v>
      </c>
      <c r="E31" s="1" t="s">
        <v>30</v>
      </c>
      <c r="F31" s="1" t="s">
        <v>25</v>
      </c>
      <c r="G31" s="1" t="s">
        <v>26</v>
      </c>
      <c r="H31" s="3">
        <f t="shared" si="0"/>
        <v>1.2687500000000001E-2</v>
      </c>
    </row>
    <row r="32" spans="1:8" x14ac:dyDescent="0.25">
      <c r="A32" s="1" t="s">
        <v>131</v>
      </c>
      <c r="B32" s="2" t="s">
        <v>132</v>
      </c>
      <c r="C32" s="2" t="s">
        <v>133</v>
      </c>
      <c r="D32" s="1" t="s">
        <v>69</v>
      </c>
      <c r="E32" s="1" t="s">
        <v>30</v>
      </c>
      <c r="F32" s="1" t="s">
        <v>523</v>
      </c>
      <c r="G32" s="1" t="s">
        <v>45</v>
      </c>
      <c r="H32" s="3">
        <f t="shared" si="0"/>
        <v>1.4659722222222225E-2</v>
      </c>
    </row>
    <row r="33" spans="1:8" x14ac:dyDescent="0.25">
      <c r="A33" s="1" t="s">
        <v>134</v>
      </c>
      <c r="B33" s="2" t="s">
        <v>135</v>
      </c>
      <c r="C33" s="2" t="s">
        <v>136</v>
      </c>
      <c r="D33" s="1" t="s">
        <v>23</v>
      </c>
      <c r="E33" s="1" t="s">
        <v>24</v>
      </c>
      <c r="F33" s="1" t="s">
        <v>25</v>
      </c>
      <c r="G33" s="1" t="s">
        <v>19</v>
      </c>
      <c r="H33" s="3">
        <f t="shared" si="0"/>
        <v>1.6417824074074071E-2</v>
      </c>
    </row>
    <row r="34" spans="1:8" x14ac:dyDescent="0.25">
      <c r="A34" s="1" t="s">
        <v>137</v>
      </c>
      <c r="B34" s="2" t="s">
        <v>138</v>
      </c>
      <c r="C34" s="2" t="s">
        <v>139</v>
      </c>
      <c r="D34" s="1" t="s">
        <v>69</v>
      </c>
      <c r="E34" s="1" t="s">
        <v>55</v>
      </c>
      <c r="F34" s="1" t="s">
        <v>523</v>
      </c>
      <c r="G34" s="1" t="s">
        <v>45</v>
      </c>
      <c r="H34" s="3">
        <f t="shared" ref="H34:H65" si="1">ABS(C34-B34)</f>
        <v>2.082291666666667E-2</v>
      </c>
    </row>
    <row r="35" spans="1:8" x14ac:dyDescent="0.25">
      <c r="A35" s="1" t="s">
        <v>140</v>
      </c>
      <c r="B35" s="2" t="s">
        <v>141</v>
      </c>
      <c r="C35" s="2" t="s">
        <v>142</v>
      </c>
      <c r="D35" s="1" t="s">
        <v>122</v>
      </c>
      <c r="E35" s="1" t="s">
        <v>50</v>
      </c>
      <c r="F35" s="1" t="s">
        <v>143</v>
      </c>
      <c r="G35" s="1" t="s">
        <v>45</v>
      </c>
      <c r="H35" s="3">
        <f t="shared" si="1"/>
        <v>2.9571759259259256E-3</v>
      </c>
    </row>
    <row r="36" spans="1:8" x14ac:dyDescent="0.25">
      <c r="A36" s="1" t="s">
        <v>144</v>
      </c>
      <c r="B36" s="2" t="s">
        <v>145</v>
      </c>
      <c r="C36" s="2" t="s">
        <v>146</v>
      </c>
      <c r="D36" s="1" t="s">
        <v>23</v>
      </c>
      <c r="E36" s="1" t="s">
        <v>41</v>
      </c>
      <c r="F36" s="1" t="s">
        <v>25</v>
      </c>
      <c r="G36" s="1" t="s">
        <v>45</v>
      </c>
      <c r="H36" s="3">
        <f t="shared" si="1"/>
        <v>2.5840277777777781E-2</v>
      </c>
    </row>
    <row r="37" spans="1:8" x14ac:dyDescent="0.25">
      <c r="A37" s="1" t="s">
        <v>147</v>
      </c>
      <c r="B37" s="2" t="s">
        <v>148</v>
      </c>
      <c r="C37" s="2" t="s">
        <v>149</v>
      </c>
      <c r="D37" s="1" t="s">
        <v>35</v>
      </c>
      <c r="E37" s="1" t="s">
        <v>24</v>
      </c>
      <c r="F37" s="1" t="s">
        <v>37</v>
      </c>
      <c r="G37" s="1" t="s">
        <v>45</v>
      </c>
      <c r="H37" s="3">
        <f t="shared" si="1"/>
        <v>7.8217592592592609E-3</v>
      </c>
    </row>
    <row r="38" spans="1:8" x14ac:dyDescent="0.25">
      <c r="A38" s="1" t="s">
        <v>150</v>
      </c>
      <c r="B38" s="2" t="s">
        <v>151</v>
      </c>
      <c r="C38" s="2" t="s">
        <v>152</v>
      </c>
      <c r="D38" s="1" t="s">
        <v>23</v>
      </c>
      <c r="E38" s="1" t="s">
        <v>70</v>
      </c>
      <c r="F38" s="1" t="s">
        <v>25</v>
      </c>
      <c r="G38" s="1" t="s">
        <v>45</v>
      </c>
      <c r="H38" s="3">
        <f t="shared" si="1"/>
        <v>1.9175925925925923E-2</v>
      </c>
    </row>
    <row r="39" spans="1:8" x14ac:dyDescent="0.25">
      <c r="A39" s="1" t="s">
        <v>153</v>
      </c>
      <c r="B39" s="2" t="s">
        <v>154</v>
      </c>
      <c r="C39" s="2" t="s">
        <v>155</v>
      </c>
      <c r="D39" s="1" t="s">
        <v>16</v>
      </c>
      <c r="E39" s="1" t="s">
        <v>65</v>
      </c>
      <c r="F39" s="1" t="s">
        <v>156</v>
      </c>
      <c r="G39" s="1" t="s">
        <v>45</v>
      </c>
      <c r="H39" s="3">
        <f t="shared" si="1"/>
        <v>3.4222222222222223E-2</v>
      </c>
    </row>
    <row r="40" spans="1:8" x14ac:dyDescent="0.25">
      <c r="A40" s="1" t="s">
        <v>157</v>
      </c>
      <c r="B40" s="2" t="s">
        <v>158</v>
      </c>
      <c r="C40" s="2" t="s">
        <v>159</v>
      </c>
      <c r="D40" s="1" t="s">
        <v>23</v>
      </c>
      <c r="E40" s="1" t="s">
        <v>50</v>
      </c>
      <c r="F40" s="1" t="s">
        <v>25</v>
      </c>
      <c r="G40" s="1" t="s">
        <v>26</v>
      </c>
      <c r="H40" s="3">
        <f t="shared" si="1"/>
        <v>1.5880787037037037E-2</v>
      </c>
    </row>
    <row r="41" spans="1:8" x14ac:dyDescent="0.25">
      <c r="A41" s="1" t="s">
        <v>160</v>
      </c>
      <c r="B41" s="2" t="s">
        <v>161</v>
      </c>
      <c r="C41" s="2" t="s">
        <v>162</v>
      </c>
      <c r="D41" s="1" t="s">
        <v>49</v>
      </c>
      <c r="E41" s="1" t="s">
        <v>55</v>
      </c>
      <c r="F41" s="1" t="s">
        <v>51</v>
      </c>
      <c r="G41" s="1" t="s">
        <v>26</v>
      </c>
      <c r="H41" s="3">
        <f t="shared" si="1"/>
        <v>9.8541666666666708E-3</v>
      </c>
    </row>
    <row r="42" spans="1:8" x14ac:dyDescent="0.25">
      <c r="A42" s="1" t="s">
        <v>163</v>
      </c>
      <c r="B42" s="2" t="s">
        <v>164</v>
      </c>
      <c r="C42" s="2" t="s">
        <v>165</v>
      </c>
      <c r="D42" s="1" t="s">
        <v>69</v>
      </c>
      <c r="E42" s="1" t="s">
        <v>17</v>
      </c>
      <c r="F42" s="1" t="s">
        <v>523</v>
      </c>
      <c r="G42" s="1" t="s">
        <v>26</v>
      </c>
      <c r="H42" s="3">
        <f t="shared" si="1"/>
        <v>6.8113425925925911E-3</v>
      </c>
    </row>
    <row r="43" spans="1:8" x14ac:dyDescent="0.25">
      <c r="A43" s="1" t="s">
        <v>166</v>
      </c>
      <c r="B43" s="2" t="s">
        <v>167</v>
      </c>
      <c r="C43" s="2" t="s">
        <v>168</v>
      </c>
      <c r="D43" s="1" t="s">
        <v>35</v>
      </c>
      <c r="E43" s="1" t="s">
        <v>24</v>
      </c>
      <c r="F43" s="1" t="s">
        <v>37</v>
      </c>
      <c r="G43" s="1" t="s">
        <v>45</v>
      </c>
      <c r="H43" s="3">
        <f t="shared" si="1"/>
        <v>2.6712962962962966E-3</v>
      </c>
    </row>
    <row r="44" spans="1:8" x14ac:dyDescent="0.25">
      <c r="A44" s="1" t="s">
        <v>169</v>
      </c>
      <c r="B44" s="2" t="s">
        <v>170</v>
      </c>
      <c r="C44" s="2" t="s">
        <v>171</v>
      </c>
      <c r="D44" s="1" t="s">
        <v>122</v>
      </c>
      <c r="E44" s="1" t="s">
        <v>83</v>
      </c>
      <c r="F44" s="1" t="s">
        <v>172</v>
      </c>
      <c r="G44" s="1" t="s">
        <v>45</v>
      </c>
      <c r="H44" s="3">
        <f t="shared" si="1"/>
        <v>2.9133101851851854E-2</v>
      </c>
    </row>
    <row r="45" spans="1:8" x14ac:dyDescent="0.25">
      <c r="A45" s="1" t="s">
        <v>173</v>
      </c>
      <c r="B45" s="2" t="s">
        <v>174</v>
      </c>
      <c r="C45" s="2" t="s">
        <v>175</v>
      </c>
      <c r="D45" s="1" t="s">
        <v>23</v>
      </c>
      <c r="E45" s="1" t="s">
        <v>55</v>
      </c>
      <c r="F45" s="1" t="s">
        <v>25</v>
      </c>
      <c r="G45" s="1" t="s">
        <v>176</v>
      </c>
      <c r="H45" s="3">
        <f t="shared" si="1"/>
        <v>1.9309027777777783E-2</v>
      </c>
    </row>
    <row r="46" spans="1:8" x14ac:dyDescent="0.25">
      <c r="A46" s="1" t="s">
        <v>177</v>
      </c>
      <c r="B46" s="2" t="s">
        <v>178</v>
      </c>
      <c r="C46" s="2" t="s">
        <v>179</v>
      </c>
      <c r="D46" s="1" t="s">
        <v>35</v>
      </c>
      <c r="E46" s="1" t="s">
        <v>50</v>
      </c>
      <c r="F46" s="1" t="s">
        <v>37</v>
      </c>
      <c r="G46" s="1" t="s">
        <v>19</v>
      </c>
      <c r="H46" s="3">
        <f t="shared" si="1"/>
        <v>5.4537037037037028E-3</v>
      </c>
    </row>
    <row r="47" spans="1:8" x14ac:dyDescent="0.25">
      <c r="A47" s="1" t="s">
        <v>180</v>
      </c>
      <c r="B47" s="2" t="s">
        <v>181</v>
      </c>
      <c r="C47" s="2" t="s">
        <v>182</v>
      </c>
      <c r="D47" s="1" t="s">
        <v>23</v>
      </c>
      <c r="E47" s="1" t="s">
        <v>24</v>
      </c>
      <c r="F47" s="1" t="s">
        <v>25</v>
      </c>
      <c r="G47" s="1" t="s">
        <v>19</v>
      </c>
      <c r="H47" s="3">
        <f t="shared" si="1"/>
        <v>2.5657407407407407E-2</v>
      </c>
    </row>
    <row r="48" spans="1:8" x14ac:dyDescent="0.25">
      <c r="A48" s="1" t="s">
        <v>183</v>
      </c>
      <c r="B48" s="2" t="s">
        <v>184</v>
      </c>
      <c r="C48" s="2" t="s">
        <v>185</v>
      </c>
      <c r="D48" s="1" t="s">
        <v>69</v>
      </c>
      <c r="E48" s="1" t="s">
        <v>41</v>
      </c>
      <c r="F48" s="1" t="s">
        <v>523</v>
      </c>
      <c r="G48" s="1" t="s">
        <v>26</v>
      </c>
      <c r="H48" s="3">
        <f t="shared" si="1"/>
        <v>7.7430555555555239E-4</v>
      </c>
    </row>
    <row r="49" spans="1:8" x14ac:dyDescent="0.25">
      <c r="A49" s="1" t="s">
        <v>186</v>
      </c>
      <c r="B49" s="2" t="s">
        <v>187</v>
      </c>
      <c r="C49" s="2" t="s">
        <v>188</v>
      </c>
      <c r="D49" s="1" t="s">
        <v>49</v>
      </c>
      <c r="E49" s="1" t="s">
        <v>24</v>
      </c>
      <c r="F49" s="1" t="s">
        <v>51</v>
      </c>
      <c r="G49" s="1" t="s">
        <v>45</v>
      </c>
      <c r="H49" s="3">
        <f t="shared" si="1"/>
        <v>2.3365740740740739E-2</v>
      </c>
    </row>
    <row r="50" spans="1:8" x14ac:dyDescent="0.25">
      <c r="A50" s="1" t="s">
        <v>189</v>
      </c>
      <c r="B50" s="2" t="s">
        <v>190</v>
      </c>
      <c r="C50" s="2" t="s">
        <v>191</v>
      </c>
      <c r="D50" s="1" t="s">
        <v>69</v>
      </c>
      <c r="E50" s="1" t="s">
        <v>24</v>
      </c>
      <c r="F50" s="1" t="s">
        <v>523</v>
      </c>
      <c r="G50" s="1" t="s">
        <v>26</v>
      </c>
      <c r="H50" s="3">
        <f t="shared" si="1"/>
        <v>1.8880787037037036E-2</v>
      </c>
    </row>
    <row r="51" spans="1:8" x14ac:dyDescent="0.25">
      <c r="A51" s="1" t="s">
        <v>192</v>
      </c>
      <c r="B51" s="2" t="s">
        <v>193</v>
      </c>
      <c r="C51" s="2" t="s">
        <v>194</v>
      </c>
      <c r="D51" s="1" t="s">
        <v>69</v>
      </c>
      <c r="E51" s="1" t="s">
        <v>24</v>
      </c>
      <c r="F51" s="1" t="s">
        <v>523</v>
      </c>
      <c r="G51" s="1" t="s">
        <v>26</v>
      </c>
      <c r="H51" s="3">
        <f t="shared" si="1"/>
        <v>1.2886574074074075E-2</v>
      </c>
    </row>
    <row r="52" spans="1:8" x14ac:dyDescent="0.25">
      <c r="A52" s="1" t="s">
        <v>195</v>
      </c>
      <c r="B52" s="2" t="s">
        <v>196</v>
      </c>
      <c r="C52" s="2" t="s">
        <v>197</v>
      </c>
      <c r="D52" s="1" t="s">
        <v>16</v>
      </c>
      <c r="E52" s="1" t="s">
        <v>36</v>
      </c>
      <c r="F52" s="1" t="s">
        <v>198</v>
      </c>
      <c r="G52" s="1" t="s">
        <v>45</v>
      </c>
      <c r="H52" s="3">
        <f t="shared" si="1"/>
        <v>8.8900462962962987E-3</v>
      </c>
    </row>
    <row r="53" spans="1:8" x14ac:dyDescent="0.25">
      <c r="A53" s="1" t="s">
        <v>199</v>
      </c>
      <c r="B53" s="2" t="s">
        <v>200</v>
      </c>
      <c r="C53" s="2" t="s">
        <v>201</v>
      </c>
      <c r="D53" s="1" t="s">
        <v>23</v>
      </c>
      <c r="E53" s="1" t="s">
        <v>24</v>
      </c>
      <c r="F53" s="1" t="s">
        <v>25</v>
      </c>
      <c r="G53" s="1" t="s">
        <v>45</v>
      </c>
      <c r="H53" s="3">
        <f t="shared" si="1"/>
        <v>1.849189814814815E-2</v>
      </c>
    </row>
    <row r="54" spans="1:8" x14ac:dyDescent="0.25">
      <c r="A54" s="1" t="s">
        <v>202</v>
      </c>
      <c r="B54" s="2" t="s">
        <v>203</v>
      </c>
      <c r="C54" s="2" t="s">
        <v>204</v>
      </c>
      <c r="D54" s="1" t="s">
        <v>23</v>
      </c>
      <c r="E54" s="1" t="s">
        <v>36</v>
      </c>
      <c r="F54" s="1" t="s">
        <v>25</v>
      </c>
      <c r="G54" s="1" t="s">
        <v>26</v>
      </c>
      <c r="H54" s="3">
        <f t="shared" si="1"/>
        <v>4.1226851851851858E-3</v>
      </c>
    </row>
    <row r="55" spans="1:8" x14ac:dyDescent="0.25">
      <c r="A55" s="1" t="s">
        <v>205</v>
      </c>
      <c r="B55" s="2" t="s">
        <v>206</v>
      </c>
      <c r="C55" s="2" t="s">
        <v>207</v>
      </c>
      <c r="D55" s="1" t="s">
        <v>23</v>
      </c>
      <c r="E55" s="1" t="s">
        <v>24</v>
      </c>
      <c r="F55" s="1" t="s">
        <v>25</v>
      </c>
      <c r="G55" s="1" t="s">
        <v>26</v>
      </c>
      <c r="H55" s="3">
        <f t="shared" si="1"/>
        <v>8.2210648148148199E-3</v>
      </c>
    </row>
    <row r="56" spans="1:8" x14ac:dyDescent="0.25">
      <c r="A56" s="1" t="s">
        <v>208</v>
      </c>
      <c r="B56" s="2" t="s">
        <v>209</v>
      </c>
      <c r="C56" s="2" t="s">
        <v>210</v>
      </c>
      <c r="D56" s="1" t="s">
        <v>69</v>
      </c>
      <c r="E56" s="1" t="s">
        <v>30</v>
      </c>
      <c r="F56" s="1" t="s">
        <v>523</v>
      </c>
      <c r="G56" s="1" t="s">
        <v>19</v>
      </c>
      <c r="H56" s="3">
        <f t="shared" si="1"/>
        <v>2.1226851851851854E-3</v>
      </c>
    </row>
    <row r="57" spans="1:8" x14ac:dyDescent="0.25">
      <c r="A57" s="1" t="s">
        <v>211</v>
      </c>
      <c r="B57" s="2" t="s">
        <v>212</v>
      </c>
      <c r="C57" s="2" t="s">
        <v>213</v>
      </c>
      <c r="D57" s="1" t="s">
        <v>49</v>
      </c>
      <c r="E57" s="1" t="s">
        <v>24</v>
      </c>
      <c r="F57" s="1" t="s">
        <v>51</v>
      </c>
      <c r="G57" s="1" t="s">
        <v>26</v>
      </c>
      <c r="H57" s="3">
        <f t="shared" si="1"/>
        <v>2.8471064814814814E-2</v>
      </c>
    </row>
    <row r="58" spans="1:8" x14ac:dyDescent="0.25">
      <c r="A58" s="1" t="s">
        <v>214</v>
      </c>
      <c r="B58" s="2" t="s">
        <v>215</v>
      </c>
      <c r="C58" s="2" t="s">
        <v>216</v>
      </c>
      <c r="D58" s="1" t="s">
        <v>16</v>
      </c>
      <c r="E58" s="1" t="s">
        <v>36</v>
      </c>
      <c r="F58" s="1" t="s">
        <v>217</v>
      </c>
      <c r="G58" s="1" t="s">
        <v>26</v>
      </c>
      <c r="H58" s="3">
        <f t="shared" si="1"/>
        <v>1.642592592592592E-2</v>
      </c>
    </row>
    <row r="59" spans="1:8" x14ac:dyDescent="0.25">
      <c r="A59" s="1" t="s">
        <v>218</v>
      </c>
      <c r="B59" s="2" t="s">
        <v>219</v>
      </c>
      <c r="C59" s="2" t="s">
        <v>220</v>
      </c>
      <c r="D59" s="1" t="s">
        <v>90</v>
      </c>
      <c r="E59" s="1" t="s">
        <v>55</v>
      </c>
      <c r="F59" s="1" t="s">
        <v>221</v>
      </c>
      <c r="G59" s="1" t="s">
        <v>45</v>
      </c>
      <c r="H59" s="3">
        <f t="shared" si="1"/>
        <v>1.3460648148148149E-2</v>
      </c>
    </row>
    <row r="60" spans="1:8" x14ac:dyDescent="0.25">
      <c r="A60" s="1" t="s">
        <v>222</v>
      </c>
      <c r="B60" s="2" t="s">
        <v>223</v>
      </c>
      <c r="C60" s="2" t="s">
        <v>224</v>
      </c>
      <c r="D60" s="1" t="s">
        <v>16</v>
      </c>
      <c r="E60" s="1" t="s">
        <v>55</v>
      </c>
      <c r="F60" s="1" t="s">
        <v>225</v>
      </c>
      <c r="G60" s="1" t="s">
        <v>26</v>
      </c>
      <c r="H60" s="3">
        <f t="shared" si="1"/>
        <v>1.8214120370370367E-2</v>
      </c>
    </row>
    <row r="61" spans="1:8" x14ac:dyDescent="0.25">
      <c r="A61" s="1" t="s">
        <v>226</v>
      </c>
      <c r="B61" s="2" t="s">
        <v>227</v>
      </c>
      <c r="C61" s="2" t="s">
        <v>228</v>
      </c>
      <c r="D61" s="1" t="s">
        <v>23</v>
      </c>
      <c r="E61" s="1" t="s">
        <v>50</v>
      </c>
      <c r="F61" s="1" t="s">
        <v>25</v>
      </c>
      <c r="G61" s="1" t="s">
        <v>26</v>
      </c>
      <c r="H61" s="3">
        <f t="shared" si="1"/>
        <v>1.3708333333333338E-2</v>
      </c>
    </row>
    <row r="62" spans="1:8" x14ac:dyDescent="0.25">
      <c r="A62" s="1" t="s">
        <v>229</v>
      </c>
      <c r="B62" s="2" t="s">
        <v>230</v>
      </c>
      <c r="C62" s="2" t="s">
        <v>231</v>
      </c>
      <c r="D62" s="1" t="s">
        <v>35</v>
      </c>
      <c r="E62" s="1" t="s">
        <v>36</v>
      </c>
      <c r="F62" s="1" t="s">
        <v>37</v>
      </c>
      <c r="G62" s="1" t="s">
        <v>26</v>
      </c>
      <c r="H62" s="3">
        <f t="shared" si="1"/>
        <v>3.069675925925926E-2</v>
      </c>
    </row>
    <row r="63" spans="1:8" x14ac:dyDescent="0.25">
      <c r="A63" s="1" t="s">
        <v>232</v>
      </c>
      <c r="B63" s="2" t="s">
        <v>233</v>
      </c>
      <c r="C63" s="2" t="s">
        <v>234</v>
      </c>
      <c r="D63" s="1" t="s">
        <v>23</v>
      </c>
      <c r="E63" s="1" t="s">
        <v>17</v>
      </c>
      <c r="F63" s="1" t="s">
        <v>25</v>
      </c>
      <c r="G63" s="1" t="s">
        <v>26</v>
      </c>
      <c r="H63" s="3">
        <f t="shared" si="1"/>
        <v>1.1216435185185183E-2</v>
      </c>
    </row>
    <row r="64" spans="1:8" x14ac:dyDescent="0.25">
      <c r="A64" s="1" t="s">
        <v>235</v>
      </c>
      <c r="B64" s="2" t="s">
        <v>236</v>
      </c>
      <c r="C64" s="2" t="s">
        <v>237</v>
      </c>
      <c r="D64" s="1" t="s">
        <v>23</v>
      </c>
      <c r="E64" s="1" t="s">
        <v>65</v>
      </c>
      <c r="F64" s="1" t="s">
        <v>25</v>
      </c>
      <c r="G64" s="1" t="s">
        <v>26</v>
      </c>
      <c r="H64" s="3">
        <f t="shared" si="1"/>
        <v>1.2472222222222221E-2</v>
      </c>
    </row>
    <row r="65" spans="1:8" x14ac:dyDescent="0.25">
      <c r="A65" s="1" t="s">
        <v>238</v>
      </c>
      <c r="B65" s="2" t="s">
        <v>239</v>
      </c>
      <c r="C65" s="2" t="s">
        <v>240</v>
      </c>
      <c r="D65" s="1" t="s">
        <v>49</v>
      </c>
      <c r="E65" s="1" t="s">
        <v>65</v>
      </c>
      <c r="F65" s="1" t="s">
        <v>51</v>
      </c>
      <c r="G65" s="1" t="s">
        <v>19</v>
      </c>
      <c r="H65" s="3">
        <f t="shared" si="1"/>
        <v>1.0682870370370412E-3</v>
      </c>
    </row>
    <row r="66" spans="1:8" x14ac:dyDescent="0.25">
      <c r="A66" s="1" t="s">
        <v>241</v>
      </c>
      <c r="B66" s="2" t="s">
        <v>242</v>
      </c>
      <c r="C66" s="2" t="s">
        <v>243</v>
      </c>
      <c r="D66" s="1" t="s">
        <v>49</v>
      </c>
      <c r="E66" s="1" t="s">
        <v>41</v>
      </c>
      <c r="F66" s="1" t="s">
        <v>51</v>
      </c>
      <c r="G66" s="1" t="s">
        <v>26</v>
      </c>
      <c r="H66" s="3">
        <f t="shared" ref="H66:H97" si="2">ABS(C66-B66)</f>
        <v>3.9083333333333331E-2</v>
      </c>
    </row>
    <row r="67" spans="1:8" x14ac:dyDescent="0.25">
      <c r="A67" s="1" t="s">
        <v>244</v>
      </c>
      <c r="B67" s="2" t="s">
        <v>245</v>
      </c>
      <c r="C67" s="2" t="s">
        <v>246</v>
      </c>
      <c r="D67" s="1" t="s">
        <v>69</v>
      </c>
      <c r="E67" s="1" t="s">
        <v>17</v>
      </c>
      <c r="F67" s="1" t="s">
        <v>523</v>
      </c>
      <c r="G67" s="1" t="s">
        <v>26</v>
      </c>
      <c r="H67" s="3">
        <f t="shared" si="2"/>
        <v>3.0795138888888889E-2</v>
      </c>
    </row>
    <row r="68" spans="1:8" x14ac:dyDescent="0.25">
      <c r="A68" s="1" t="s">
        <v>247</v>
      </c>
      <c r="B68" s="2" t="s">
        <v>248</v>
      </c>
      <c r="C68" s="2" t="s">
        <v>249</v>
      </c>
      <c r="D68" s="1" t="s">
        <v>35</v>
      </c>
      <c r="E68" s="1" t="s">
        <v>30</v>
      </c>
      <c r="F68" s="1" t="s">
        <v>37</v>
      </c>
      <c r="G68" s="1" t="s">
        <v>45</v>
      </c>
      <c r="H68" s="3">
        <f t="shared" si="2"/>
        <v>1.1450231481481481E-2</v>
      </c>
    </row>
    <row r="69" spans="1:8" x14ac:dyDescent="0.25">
      <c r="A69" s="1" t="s">
        <v>250</v>
      </c>
      <c r="B69" s="2" t="s">
        <v>251</v>
      </c>
      <c r="C69" s="2" t="s">
        <v>252</v>
      </c>
      <c r="D69" s="1" t="s">
        <v>69</v>
      </c>
      <c r="E69" s="1" t="s">
        <v>65</v>
      </c>
      <c r="F69" s="1" t="s">
        <v>523</v>
      </c>
      <c r="G69" s="1" t="s">
        <v>26</v>
      </c>
      <c r="H69" s="3">
        <f t="shared" si="2"/>
        <v>1.0631944444444446E-2</v>
      </c>
    </row>
    <row r="70" spans="1:8" x14ac:dyDescent="0.25">
      <c r="A70" s="1" t="s">
        <v>253</v>
      </c>
      <c r="B70" s="2" t="s">
        <v>254</v>
      </c>
      <c r="C70" s="2" t="s">
        <v>255</v>
      </c>
      <c r="D70" s="1" t="s">
        <v>23</v>
      </c>
      <c r="E70" s="1" t="s">
        <v>50</v>
      </c>
      <c r="F70" s="1" t="s">
        <v>25</v>
      </c>
      <c r="G70" s="1" t="s">
        <v>45</v>
      </c>
      <c r="H70" s="3">
        <f t="shared" si="2"/>
        <v>2.0718750000000008E-2</v>
      </c>
    </row>
    <row r="71" spans="1:8" x14ac:dyDescent="0.25">
      <c r="A71" s="1" t="s">
        <v>256</v>
      </c>
      <c r="B71" s="2" t="s">
        <v>257</v>
      </c>
      <c r="C71" s="2" t="s">
        <v>258</v>
      </c>
      <c r="D71" s="1" t="s">
        <v>23</v>
      </c>
      <c r="E71" s="1" t="s">
        <v>41</v>
      </c>
      <c r="F71" s="1" t="s">
        <v>25</v>
      </c>
      <c r="G71" s="1" t="s">
        <v>26</v>
      </c>
      <c r="H71" s="3">
        <f t="shared" si="2"/>
        <v>4.5393518518518569E-3</v>
      </c>
    </row>
    <row r="72" spans="1:8" x14ac:dyDescent="0.25">
      <c r="A72" s="1" t="s">
        <v>259</v>
      </c>
      <c r="B72" s="2" t="s">
        <v>260</v>
      </c>
      <c r="C72" s="2" t="s">
        <v>261</v>
      </c>
      <c r="D72" s="1" t="s">
        <v>35</v>
      </c>
      <c r="E72" s="1" t="s">
        <v>65</v>
      </c>
      <c r="F72" s="1" t="s">
        <v>37</v>
      </c>
      <c r="G72" s="1" t="s">
        <v>176</v>
      </c>
      <c r="H72" s="3">
        <f t="shared" si="2"/>
        <v>3.2605324074074071E-2</v>
      </c>
    </row>
    <row r="73" spans="1:8" x14ac:dyDescent="0.25">
      <c r="A73" s="1" t="s">
        <v>262</v>
      </c>
      <c r="B73" s="2" t="s">
        <v>263</v>
      </c>
      <c r="C73" s="2" t="s">
        <v>264</v>
      </c>
      <c r="D73" s="1" t="s">
        <v>23</v>
      </c>
      <c r="E73" s="1" t="s">
        <v>30</v>
      </c>
      <c r="F73" s="1" t="s">
        <v>25</v>
      </c>
      <c r="G73" s="1" t="s">
        <v>26</v>
      </c>
      <c r="H73" s="3">
        <f t="shared" si="2"/>
        <v>2.0729166666666674E-3</v>
      </c>
    </row>
    <row r="74" spans="1:8" x14ac:dyDescent="0.25">
      <c r="A74" s="1" t="s">
        <v>265</v>
      </c>
      <c r="B74" s="2" t="s">
        <v>266</v>
      </c>
      <c r="C74" s="2" t="s">
        <v>267</v>
      </c>
      <c r="D74" s="1" t="s">
        <v>69</v>
      </c>
      <c r="E74" s="1" t="s">
        <v>65</v>
      </c>
      <c r="F74" s="1" t="s">
        <v>523</v>
      </c>
      <c r="G74" s="1" t="s">
        <v>26</v>
      </c>
      <c r="H74" s="3">
        <f t="shared" si="2"/>
        <v>6.8622685185185175E-3</v>
      </c>
    </row>
    <row r="75" spans="1:8" x14ac:dyDescent="0.25">
      <c r="A75" s="1" t="s">
        <v>268</v>
      </c>
      <c r="B75" s="2" t="s">
        <v>269</v>
      </c>
      <c r="C75" s="2" t="s">
        <v>270</v>
      </c>
      <c r="D75" s="1" t="s">
        <v>16</v>
      </c>
      <c r="E75" s="1" t="s">
        <v>70</v>
      </c>
      <c r="F75" s="1" t="s">
        <v>271</v>
      </c>
      <c r="G75" s="1" t="s">
        <v>19</v>
      </c>
      <c r="H75" s="3">
        <f t="shared" si="2"/>
        <v>4.5752314814814787E-3</v>
      </c>
    </row>
    <row r="76" spans="1:8" x14ac:dyDescent="0.25">
      <c r="A76" s="1" t="s">
        <v>272</v>
      </c>
      <c r="B76" s="2" t="s">
        <v>273</v>
      </c>
      <c r="C76" s="2" t="s">
        <v>274</v>
      </c>
      <c r="D76" s="1" t="s">
        <v>90</v>
      </c>
      <c r="E76" s="1" t="s">
        <v>24</v>
      </c>
      <c r="F76" s="1" t="s">
        <v>275</v>
      </c>
      <c r="G76" s="1" t="s">
        <v>45</v>
      </c>
      <c r="H76" s="3">
        <f t="shared" si="2"/>
        <v>1.2719907407407402E-3</v>
      </c>
    </row>
    <row r="77" spans="1:8" x14ac:dyDescent="0.25">
      <c r="A77" s="1" t="s">
        <v>276</v>
      </c>
      <c r="B77" s="2" t="s">
        <v>277</v>
      </c>
      <c r="C77" s="2" t="s">
        <v>278</v>
      </c>
      <c r="D77" s="1" t="s">
        <v>16</v>
      </c>
      <c r="E77" s="1" t="s">
        <v>65</v>
      </c>
      <c r="F77" s="1" t="s">
        <v>279</v>
      </c>
      <c r="G77" s="1" t="s">
        <v>19</v>
      </c>
      <c r="H77" s="3">
        <f t="shared" si="2"/>
        <v>5.0497685185185194E-3</v>
      </c>
    </row>
    <row r="78" spans="1:8" x14ac:dyDescent="0.25">
      <c r="A78" s="1" t="s">
        <v>280</v>
      </c>
      <c r="B78" s="2" t="s">
        <v>281</v>
      </c>
      <c r="C78" s="2" t="s">
        <v>282</v>
      </c>
      <c r="D78" s="1" t="s">
        <v>23</v>
      </c>
      <c r="E78" s="1" t="s">
        <v>24</v>
      </c>
      <c r="F78" s="1" t="s">
        <v>25</v>
      </c>
      <c r="G78" s="1" t="s">
        <v>19</v>
      </c>
      <c r="H78" s="3">
        <f t="shared" si="2"/>
        <v>1.4017361111111112E-2</v>
      </c>
    </row>
    <row r="79" spans="1:8" x14ac:dyDescent="0.25">
      <c r="A79" s="1" t="s">
        <v>283</v>
      </c>
      <c r="B79" s="2" t="s">
        <v>284</v>
      </c>
      <c r="C79" s="2" t="s">
        <v>285</v>
      </c>
      <c r="D79" s="1" t="s">
        <v>90</v>
      </c>
      <c r="E79" s="1" t="s">
        <v>50</v>
      </c>
      <c r="F79" s="1" t="s">
        <v>286</v>
      </c>
      <c r="G79" s="1" t="s">
        <v>19</v>
      </c>
      <c r="H79" s="3">
        <f t="shared" si="2"/>
        <v>1.6180555555555566E-3</v>
      </c>
    </row>
    <row r="80" spans="1:8" x14ac:dyDescent="0.25">
      <c r="A80" s="1" t="s">
        <v>287</v>
      </c>
      <c r="B80" s="2" t="s">
        <v>288</v>
      </c>
      <c r="C80" s="2" t="s">
        <v>289</v>
      </c>
      <c r="D80" s="1" t="s">
        <v>23</v>
      </c>
      <c r="E80" s="1" t="s">
        <v>24</v>
      </c>
      <c r="F80" s="1" t="s">
        <v>25</v>
      </c>
      <c r="G80" s="1" t="s">
        <v>45</v>
      </c>
      <c r="H80" s="3">
        <f t="shared" si="2"/>
        <v>2.0381944444444446E-2</v>
      </c>
    </row>
    <row r="81" spans="1:8" x14ac:dyDescent="0.25">
      <c r="A81" s="1" t="s">
        <v>290</v>
      </c>
      <c r="B81" s="2" t="s">
        <v>291</v>
      </c>
      <c r="C81" s="2" t="s">
        <v>292</v>
      </c>
      <c r="D81" s="1" t="s">
        <v>69</v>
      </c>
      <c r="E81" s="1" t="s">
        <v>24</v>
      </c>
      <c r="F81" s="1" t="s">
        <v>523</v>
      </c>
      <c r="G81" s="1" t="s">
        <v>45</v>
      </c>
      <c r="H81" s="3">
        <f t="shared" si="2"/>
        <v>3.483564814814815E-2</v>
      </c>
    </row>
    <row r="82" spans="1:8" x14ac:dyDescent="0.25">
      <c r="A82" s="1" t="s">
        <v>293</v>
      </c>
      <c r="B82" s="2" t="s">
        <v>294</v>
      </c>
      <c r="C82" s="2" t="s">
        <v>295</v>
      </c>
      <c r="D82" s="1" t="s">
        <v>23</v>
      </c>
      <c r="E82" s="1" t="s">
        <v>55</v>
      </c>
      <c r="F82" s="1" t="s">
        <v>25</v>
      </c>
      <c r="G82" s="1" t="s">
        <v>45</v>
      </c>
      <c r="H82" s="3">
        <f t="shared" si="2"/>
        <v>7.597222222222217E-3</v>
      </c>
    </row>
    <row r="83" spans="1:8" x14ac:dyDescent="0.25">
      <c r="A83" s="1" t="s">
        <v>296</v>
      </c>
      <c r="B83" s="2" t="s">
        <v>297</v>
      </c>
      <c r="C83" s="2" t="s">
        <v>298</v>
      </c>
      <c r="D83" s="1" t="s">
        <v>49</v>
      </c>
      <c r="E83" s="1" t="s">
        <v>36</v>
      </c>
      <c r="F83" s="1" t="s">
        <v>51</v>
      </c>
      <c r="G83" s="1" t="s">
        <v>45</v>
      </c>
      <c r="H83" s="3">
        <f t="shared" si="2"/>
        <v>3.4806712962962963E-2</v>
      </c>
    </row>
    <row r="84" spans="1:8" x14ac:dyDescent="0.25">
      <c r="A84" s="1" t="s">
        <v>299</v>
      </c>
      <c r="B84" s="2" t="s">
        <v>300</v>
      </c>
      <c r="C84" s="2" t="s">
        <v>301</v>
      </c>
      <c r="D84" s="1" t="s">
        <v>23</v>
      </c>
      <c r="E84" s="1" t="s">
        <v>24</v>
      </c>
      <c r="F84" s="1" t="s">
        <v>25</v>
      </c>
      <c r="G84" s="1" t="s">
        <v>26</v>
      </c>
      <c r="H84" s="3">
        <f t="shared" si="2"/>
        <v>2.6678240740740759E-3</v>
      </c>
    </row>
    <row r="85" spans="1:8" x14ac:dyDescent="0.25">
      <c r="A85" s="1" t="s">
        <v>302</v>
      </c>
      <c r="B85" s="2" t="s">
        <v>303</v>
      </c>
      <c r="C85" s="2" t="s">
        <v>304</v>
      </c>
      <c r="D85" s="1" t="s">
        <v>122</v>
      </c>
      <c r="E85" s="1" t="s">
        <v>41</v>
      </c>
      <c r="F85" s="1" t="s">
        <v>305</v>
      </c>
      <c r="G85" s="1" t="s">
        <v>45</v>
      </c>
      <c r="H85" s="3">
        <f t="shared" si="2"/>
        <v>1.593171296296296E-2</v>
      </c>
    </row>
    <row r="86" spans="1:8" x14ac:dyDescent="0.25">
      <c r="A86" s="1" t="s">
        <v>306</v>
      </c>
      <c r="B86" s="2" t="s">
        <v>307</v>
      </c>
      <c r="C86" s="2" t="s">
        <v>308</v>
      </c>
      <c r="D86" s="1" t="s">
        <v>35</v>
      </c>
      <c r="E86" s="1" t="s">
        <v>83</v>
      </c>
      <c r="F86" s="1" t="s">
        <v>37</v>
      </c>
      <c r="G86" s="1" t="s">
        <v>45</v>
      </c>
      <c r="H86" s="3">
        <f t="shared" si="2"/>
        <v>8.0925925925925922E-3</v>
      </c>
    </row>
    <row r="87" spans="1:8" x14ac:dyDescent="0.25">
      <c r="A87" s="1" t="s">
        <v>309</v>
      </c>
      <c r="B87" s="2" t="s">
        <v>310</v>
      </c>
      <c r="C87" s="2" t="s">
        <v>311</v>
      </c>
      <c r="D87" s="1" t="s">
        <v>49</v>
      </c>
      <c r="E87" s="1" t="s">
        <v>50</v>
      </c>
      <c r="F87" s="1" t="s">
        <v>51</v>
      </c>
      <c r="G87" s="1" t="s">
        <v>19</v>
      </c>
      <c r="H87" s="3">
        <f t="shared" si="2"/>
        <v>1.0687499999999999E-2</v>
      </c>
    </row>
    <row r="88" spans="1:8" x14ac:dyDescent="0.25">
      <c r="A88" s="1" t="s">
        <v>312</v>
      </c>
      <c r="B88" s="2" t="s">
        <v>313</v>
      </c>
      <c r="C88" s="2" t="s">
        <v>314</v>
      </c>
      <c r="D88" s="1" t="s">
        <v>23</v>
      </c>
      <c r="E88" s="1" t="s">
        <v>65</v>
      </c>
      <c r="F88" s="1" t="s">
        <v>25</v>
      </c>
      <c r="G88" s="1" t="s">
        <v>26</v>
      </c>
      <c r="H88" s="3">
        <f t="shared" si="2"/>
        <v>1.2862268518518519E-2</v>
      </c>
    </row>
    <row r="89" spans="1:8" x14ac:dyDescent="0.25">
      <c r="A89" s="1" t="s">
        <v>315</v>
      </c>
      <c r="B89" s="2" t="s">
        <v>316</v>
      </c>
      <c r="C89" s="2" t="s">
        <v>317</v>
      </c>
      <c r="D89" s="1" t="s">
        <v>35</v>
      </c>
      <c r="E89" s="1" t="s">
        <v>30</v>
      </c>
      <c r="F89" s="1" t="s">
        <v>37</v>
      </c>
      <c r="G89" s="1" t="s">
        <v>26</v>
      </c>
      <c r="H89" s="3">
        <f t="shared" si="2"/>
        <v>4.5486111111111074E-4</v>
      </c>
    </row>
    <row r="90" spans="1:8" x14ac:dyDescent="0.25">
      <c r="A90" s="1" t="s">
        <v>318</v>
      </c>
      <c r="B90" s="2" t="s">
        <v>319</v>
      </c>
      <c r="C90" s="2" t="s">
        <v>320</v>
      </c>
      <c r="D90" s="1" t="s">
        <v>23</v>
      </c>
      <c r="E90" s="1" t="s">
        <v>50</v>
      </c>
      <c r="F90" s="1" t="s">
        <v>25</v>
      </c>
      <c r="G90" s="1" t="s">
        <v>26</v>
      </c>
      <c r="H90" s="3">
        <f t="shared" si="2"/>
        <v>1.8535879629629628E-2</v>
      </c>
    </row>
    <row r="91" spans="1:8" x14ac:dyDescent="0.25">
      <c r="A91" s="1" t="s">
        <v>321</v>
      </c>
      <c r="B91" s="2" t="s">
        <v>322</v>
      </c>
      <c r="C91" s="2" t="s">
        <v>323</v>
      </c>
      <c r="D91" s="1" t="s">
        <v>23</v>
      </c>
      <c r="E91" s="1" t="s">
        <v>50</v>
      </c>
      <c r="F91" s="1" t="s">
        <v>25</v>
      </c>
      <c r="G91" s="1" t="s">
        <v>45</v>
      </c>
      <c r="H91" s="3">
        <f t="shared" si="2"/>
        <v>5.3125000000000221E-4</v>
      </c>
    </row>
    <row r="92" spans="1:8" x14ac:dyDescent="0.25">
      <c r="A92" s="1" t="s">
        <v>324</v>
      </c>
      <c r="B92" s="2" t="s">
        <v>325</v>
      </c>
      <c r="C92" s="2" t="s">
        <v>326</v>
      </c>
      <c r="D92" s="1" t="s">
        <v>23</v>
      </c>
      <c r="E92" s="1" t="s">
        <v>17</v>
      </c>
      <c r="F92" s="1" t="s">
        <v>25</v>
      </c>
      <c r="G92" s="1" t="s">
        <v>26</v>
      </c>
      <c r="H92" s="3">
        <f t="shared" si="2"/>
        <v>1.2304398148148148E-2</v>
      </c>
    </row>
    <row r="93" spans="1:8" x14ac:dyDescent="0.25">
      <c r="A93" s="1" t="s">
        <v>327</v>
      </c>
      <c r="B93" s="2" t="s">
        <v>328</v>
      </c>
      <c r="C93" s="2" t="s">
        <v>329</v>
      </c>
      <c r="D93" s="1" t="s">
        <v>23</v>
      </c>
      <c r="E93" s="1" t="s">
        <v>50</v>
      </c>
      <c r="F93" s="1" t="s">
        <v>25</v>
      </c>
      <c r="G93" s="1" t="s">
        <v>45</v>
      </c>
      <c r="H93" s="3">
        <f t="shared" si="2"/>
        <v>1.9244212962962963E-2</v>
      </c>
    </row>
    <row r="94" spans="1:8" x14ac:dyDescent="0.25">
      <c r="A94" s="1" t="s">
        <v>330</v>
      </c>
      <c r="B94" s="2" t="s">
        <v>331</v>
      </c>
      <c r="C94" s="2" t="s">
        <v>332</v>
      </c>
      <c r="D94" s="1" t="s">
        <v>69</v>
      </c>
      <c r="E94" s="1" t="s">
        <v>36</v>
      </c>
      <c r="F94" s="1" t="s">
        <v>523</v>
      </c>
      <c r="G94" s="1" t="s">
        <v>26</v>
      </c>
      <c r="H94" s="3">
        <f t="shared" si="2"/>
        <v>1.629166666666667E-2</v>
      </c>
    </row>
    <row r="95" spans="1:8" x14ac:dyDescent="0.25">
      <c r="A95" s="1" t="s">
        <v>333</v>
      </c>
      <c r="B95" s="2" t="s">
        <v>334</v>
      </c>
      <c r="C95" s="2" t="s">
        <v>335</v>
      </c>
      <c r="D95" s="1" t="s">
        <v>16</v>
      </c>
      <c r="E95" s="1" t="s">
        <v>36</v>
      </c>
      <c r="F95" s="1" t="s">
        <v>336</v>
      </c>
      <c r="G95" s="1" t="s">
        <v>45</v>
      </c>
      <c r="H95" s="3">
        <f t="shared" si="2"/>
        <v>1.3096064814814814E-2</v>
      </c>
    </row>
    <row r="96" spans="1:8" x14ac:dyDescent="0.25">
      <c r="A96" s="1" t="s">
        <v>337</v>
      </c>
      <c r="B96" s="2" t="s">
        <v>338</v>
      </c>
      <c r="C96" s="2" t="s">
        <v>339</v>
      </c>
      <c r="D96" s="1" t="s">
        <v>49</v>
      </c>
      <c r="E96" s="1" t="s">
        <v>65</v>
      </c>
      <c r="F96" s="1" t="s">
        <v>51</v>
      </c>
      <c r="G96" s="1" t="s">
        <v>45</v>
      </c>
      <c r="H96" s="3">
        <f t="shared" si="2"/>
        <v>2.5385416666666664E-2</v>
      </c>
    </row>
    <row r="97" spans="1:8" x14ac:dyDescent="0.25">
      <c r="A97" s="1" t="s">
        <v>340</v>
      </c>
      <c r="B97" s="2" t="s">
        <v>341</v>
      </c>
      <c r="C97" s="2" t="s">
        <v>342</v>
      </c>
      <c r="D97" s="1" t="s">
        <v>16</v>
      </c>
      <c r="E97" s="1" t="s">
        <v>17</v>
      </c>
      <c r="F97" s="1" t="s">
        <v>343</v>
      </c>
      <c r="G97" s="1" t="s">
        <v>26</v>
      </c>
      <c r="H97" s="3">
        <f t="shared" si="2"/>
        <v>1.2928240740740782E-3</v>
      </c>
    </row>
    <row r="98" spans="1:8" x14ac:dyDescent="0.25">
      <c r="A98" s="1" t="s">
        <v>344</v>
      </c>
      <c r="B98" s="2" t="s">
        <v>345</v>
      </c>
      <c r="C98" s="2" t="s">
        <v>346</v>
      </c>
      <c r="D98" s="1" t="s">
        <v>49</v>
      </c>
      <c r="E98" s="1" t="s">
        <v>41</v>
      </c>
      <c r="F98" s="1" t="s">
        <v>51</v>
      </c>
      <c r="G98" s="1" t="s">
        <v>45</v>
      </c>
      <c r="H98" s="3">
        <f t="shared" ref="H98:H129" si="3">ABS(C98-B98)</f>
        <v>1.0708333333333334E-2</v>
      </c>
    </row>
    <row r="99" spans="1:8" x14ac:dyDescent="0.25">
      <c r="A99" s="1" t="s">
        <v>347</v>
      </c>
      <c r="B99" s="2" t="s">
        <v>348</v>
      </c>
      <c r="C99" s="2" t="s">
        <v>349</v>
      </c>
      <c r="D99" s="1" t="s">
        <v>35</v>
      </c>
      <c r="E99" s="1" t="s">
        <v>50</v>
      </c>
      <c r="F99" s="1" t="s">
        <v>37</v>
      </c>
      <c r="G99" s="1" t="s">
        <v>45</v>
      </c>
      <c r="H99" s="3">
        <f t="shared" si="3"/>
        <v>8.788194444444444E-3</v>
      </c>
    </row>
    <row r="100" spans="1:8" x14ac:dyDescent="0.25">
      <c r="A100" s="1" t="s">
        <v>350</v>
      </c>
      <c r="B100" s="2" t="s">
        <v>351</v>
      </c>
      <c r="C100" s="2" t="s">
        <v>352</v>
      </c>
      <c r="D100" s="1" t="s">
        <v>23</v>
      </c>
      <c r="E100" s="1" t="s">
        <v>24</v>
      </c>
      <c r="F100" s="1" t="s">
        <v>25</v>
      </c>
      <c r="G100" s="1" t="s">
        <v>19</v>
      </c>
      <c r="H100" s="3">
        <f t="shared" si="3"/>
        <v>2.5694444444444436E-3</v>
      </c>
    </row>
    <row r="101" spans="1:8" x14ac:dyDescent="0.25">
      <c r="A101" s="1" t="s">
        <v>353</v>
      </c>
      <c r="B101" s="2" t="s">
        <v>354</v>
      </c>
      <c r="C101" s="2" t="s">
        <v>355</v>
      </c>
      <c r="D101" s="1" t="s">
        <v>35</v>
      </c>
      <c r="E101" s="1" t="s">
        <v>41</v>
      </c>
      <c r="F101" s="1" t="s">
        <v>37</v>
      </c>
      <c r="G101" s="1" t="s">
        <v>26</v>
      </c>
      <c r="H101" s="3">
        <f t="shared" si="3"/>
        <v>7.8611111111111121E-3</v>
      </c>
    </row>
    <row r="102" spans="1:8" x14ac:dyDescent="0.25">
      <c r="A102" s="1" t="s">
        <v>356</v>
      </c>
      <c r="B102" s="2" t="s">
        <v>357</v>
      </c>
      <c r="C102" s="2" t="s">
        <v>358</v>
      </c>
      <c r="D102" s="1" t="s">
        <v>23</v>
      </c>
      <c r="E102" s="1" t="s">
        <v>50</v>
      </c>
      <c r="F102" s="1" t="s">
        <v>25</v>
      </c>
      <c r="G102" s="1" t="s">
        <v>176</v>
      </c>
      <c r="H102" s="3">
        <f t="shared" si="3"/>
        <v>2.8553240740740761E-3</v>
      </c>
    </row>
    <row r="103" spans="1:8" x14ac:dyDescent="0.25">
      <c r="A103" s="1" t="s">
        <v>359</v>
      </c>
      <c r="B103" s="2" t="s">
        <v>360</v>
      </c>
      <c r="C103" s="2" t="s">
        <v>361</v>
      </c>
      <c r="D103" s="1" t="s">
        <v>23</v>
      </c>
      <c r="E103" s="1" t="s">
        <v>65</v>
      </c>
      <c r="F103" s="1" t="s">
        <v>25</v>
      </c>
      <c r="G103" s="1" t="s">
        <v>26</v>
      </c>
      <c r="H103" s="3">
        <f t="shared" si="3"/>
        <v>1.6444444444444446E-2</v>
      </c>
    </row>
    <row r="104" spans="1:8" x14ac:dyDescent="0.25">
      <c r="A104" s="1" t="s">
        <v>362</v>
      </c>
      <c r="B104" s="2" t="s">
        <v>363</v>
      </c>
      <c r="C104" s="2" t="s">
        <v>308</v>
      </c>
      <c r="D104" s="1" t="s">
        <v>16</v>
      </c>
      <c r="E104" s="1" t="s">
        <v>50</v>
      </c>
      <c r="F104" s="1" t="s">
        <v>364</v>
      </c>
      <c r="G104" s="1" t="s">
        <v>45</v>
      </c>
      <c r="H104" s="3">
        <f t="shared" si="3"/>
        <v>1.987152777777778E-2</v>
      </c>
    </row>
    <row r="105" spans="1:8" x14ac:dyDescent="0.25">
      <c r="A105" s="1" t="s">
        <v>365</v>
      </c>
      <c r="B105" s="2" t="s">
        <v>366</v>
      </c>
      <c r="C105" s="2" t="s">
        <v>367</v>
      </c>
      <c r="D105" s="1" t="s">
        <v>23</v>
      </c>
      <c r="E105" s="1" t="s">
        <v>83</v>
      </c>
      <c r="F105" s="1" t="s">
        <v>25</v>
      </c>
      <c r="G105" s="1" t="s">
        <v>26</v>
      </c>
      <c r="H105" s="3">
        <f t="shared" si="3"/>
        <v>1.6460648148148148E-2</v>
      </c>
    </row>
    <row r="106" spans="1:8" x14ac:dyDescent="0.25">
      <c r="A106" s="1" t="s">
        <v>368</v>
      </c>
      <c r="B106" s="2" t="s">
        <v>369</v>
      </c>
      <c r="C106" s="2" t="s">
        <v>370</v>
      </c>
      <c r="D106" s="1" t="s">
        <v>122</v>
      </c>
      <c r="E106" s="1" t="s">
        <v>83</v>
      </c>
      <c r="F106" s="1" t="s">
        <v>371</v>
      </c>
      <c r="G106" s="1" t="s">
        <v>19</v>
      </c>
      <c r="H106" s="3">
        <f t="shared" si="3"/>
        <v>1.2106481481481477E-2</v>
      </c>
    </row>
    <row r="107" spans="1:8" x14ac:dyDescent="0.25">
      <c r="A107" s="1" t="s">
        <v>372</v>
      </c>
      <c r="B107" s="2" t="s">
        <v>373</v>
      </c>
      <c r="C107" s="2" t="s">
        <v>374</v>
      </c>
      <c r="D107" s="1" t="s">
        <v>69</v>
      </c>
      <c r="E107" s="1" t="s">
        <v>70</v>
      </c>
      <c r="F107" s="1" t="s">
        <v>523</v>
      </c>
      <c r="G107" s="1" t="s">
        <v>45</v>
      </c>
      <c r="H107" s="3">
        <f t="shared" si="3"/>
        <v>2.5763888888888885E-3</v>
      </c>
    </row>
    <row r="108" spans="1:8" x14ac:dyDescent="0.25">
      <c r="A108" s="1" t="s">
        <v>375</v>
      </c>
      <c r="B108" s="2" t="s">
        <v>376</v>
      </c>
      <c r="C108" s="2" t="s">
        <v>377</v>
      </c>
      <c r="D108" s="1" t="s">
        <v>122</v>
      </c>
      <c r="E108" s="1" t="s">
        <v>30</v>
      </c>
      <c r="F108" s="1" t="s">
        <v>378</v>
      </c>
      <c r="G108" s="1" t="s">
        <v>26</v>
      </c>
      <c r="H108" s="3">
        <f t="shared" si="3"/>
        <v>8.053240740740741E-3</v>
      </c>
    </row>
    <row r="109" spans="1:8" x14ac:dyDescent="0.25">
      <c r="A109" s="1" t="s">
        <v>379</v>
      </c>
      <c r="B109" s="2" t="s">
        <v>380</v>
      </c>
      <c r="C109" s="2" t="s">
        <v>381</v>
      </c>
      <c r="D109" s="1" t="s">
        <v>35</v>
      </c>
      <c r="E109" s="1" t="s">
        <v>24</v>
      </c>
      <c r="F109" s="1" t="s">
        <v>37</v>
      </c>
      <c r="G109" s="1" t="s">
        <v>45</v>
      </c>
      <c r="H109" s="3">
        <f t="shared" si="3"/>
        <v>2.9866898148148146E-2</v>
      </c>
    </row>
    <row r="110" spans="1:8" x14ac:dyDescent="0.25">
      <c r="A110" s="1" t="s">
        <v>382</v>
      </c>
      <c r="B110" s="2" t="s">
        <v>383</v>
      </c>
      <c r="C110" s="2" t="s">
        <v>384</v>
      </c>
      <c r="D110" s="1" t="s">
        <v>35</v>
      </c>
      <c r="E110" s="1" t="s">
        <v>30</v>
      </c>
      <c r="F110" s="1" t="s">
        <v>37</v>
      </c>
      <c r="G110" s="1" t="s">
        <v>19</v>
      </c>
      <c r="H110" s="3">
        <f t="shared" si="3"/>
        <v>8.8310185185185713E-4</v>
      </c>
    </row>
    <row r="111" spans="1:8" x14ac:dyDescent="0.25">
      <c r="A111" s="1" t="s">
        <v>385</v>
      </c>
      <c r="B111" s="2" t="s">
        <v>386</v>
      </c>
      <c r="C111" s="2" t="s">
        <v>387</v>
      </c>
      <c r="D111" s="1" t="s">
        <v>23</v>
      </c>
      <c r="E111" s="1" t="s">
        <v>30</v>
      </c>
      <c r="F111" s="1" t="s">
        <v>25</v>
      </c>
      <c r="G111" s="1" t="s">
        <v>45</v>
      </c>
      <c r="H111" s="3">
        <f t="shared" si="3"/>
        <v>2.6041666666666574E-4</v>
      </c>
    </row>
    <row r="112" spans="1:8" x14ac:dyDescent="0.25">
      <c r="A112" s="1" t="s">
        <v>388</v>
      </c>
      <c r="B112" s="2" t="s">
        <v>389</v>
      </c>
      <c r="C112" s="2" t="s">
        <v>390</v>
      </c>
      <c r="D112" s="1" t="s">
        <v>49</v>
      </c>
      <c r="E112" s="1" t="s">
        <v>65</v>
      </c>
      <c r="F112" s="1" t="s">
        <v>51</v>
      </c>
      <c r="G112" s="1" t="s">
        <v>19</v>
      </c>
      <c r="H112" s="3">
        <f t="shared" si="3"/>
        <v>1.4261574074074076E-2</v>
      </c>
    </row>
    <row r="113" spans="1:8" x14ac:dyDescent="0.25">
      <c r="A113" s="1" t="s">
        <v>391</v>
      </c>
      <c r="B113" s="2" t="s">
        <v>392</v>
      </c>
      <c r="C113" s="2" t="s">
        <v>393</v>
      </c>
      <c r="D113" s="1" t="s">
        <v>23</v>
      </c>
      <c r="E113" s="1" t="s">
        <v>30</v>
      </c>
      <c r="F113" s="1" t="s">
        <v>25</v>
      </c>
      <c r="G113" s="1" t="s">
        <v>45</v>
      </c>
      <c r="H113" s="3">
        <f t="shared" si="3"/>
        <v>7.1469907407407419E-3</v>
      </c>
    </row>
    <row r="114" spans="1:8" x14ac:dyDescent="0.25">
      <c r="A114" s="1" t="s">
        <v>394</v>
      </c>
      <c r="B114" s="2" t="s">
        <v>395</v>
      </c>
      <c r="C114" s="2" t="s">
        <v>396</v>
      </c>
      <c r="D114" s="1" t="s">
        <v>90</v>
      </c>
      <c r="E114" s="1" t="s">
        <v>24</v>
      </c>
      <c r="F114" s="1" t="s">
        <v>397</v>
      </c>
      <c r="G114" s="1" t="s">
        <v>45</v>
      </c>
      <c r="H114" s="3">
        <f t="shared" si="3"/>
        <v>2.6903935185185184E-2</v>
      </c>
    </row>
    <row r="115" spans="1:8" x14ac:dyDescent="0.25">
      <c r="A115" s="1" t="s">
        <v>398</v>
      </c>
      <c r="B115" s="2" t="s">
        <v>399</v>
      </c>
      <c r="C115" s="2" t="s">
        <v>400</v>
      </c>
      <c r="D115" s="1" t="s">
        <v>35</v>
      </c>
      <c r="E115" s="1" t="s">
        <v>36</v>
      </c>
      <c r="F115" s="1" t="s">
        <v>37</v>
      </c>
      <c r="G115" s="1" t="s">
        <v>19</v>
      </c>
      <c r="H115" s="3">
        <f t="shared" si="3"/>
        <v>8.1828703703703716E-3</v>
      </c>
    </row>
    <row r="116" spans="1:8" x14ac:dyDescent="0.25">
      <c r="A116" s="1" t="s">
        <v>401</v>
      </c>
      <c r="B116" s="2" t="s">
        <v>402</v>
      </c>
      <c r="C116" s="2" t="s">
        <v>403</v>
      </c>
      <c r="D116" s="1" t="s">
        <v>16</v>
      </c>
      <c r="E116" s="1" t="s">
        <v>41</v>
      </c>
      <c r="F116" s="1" t="s">
        <v>404</v>
      </c>
      <c r="G116" s="1" t="s">
        <v>26</v>
      </c>
      <c r="H116" s="3">
        <f t="shared" si="3"/>
        <v>2.2071759259259256E-2</v>
      </c>
    </row>
    <row r="117" spans="1:8" x14ac:dyDescent="0.25">
      <c r="A117" s="1" t="s">
        <v>405</v>
      </c>
      <c r="B117" s="2" t="s">
        <v>406</v>
      </c>
      <c r="C117" s="2" t="s">
        <v>407</v>
      </c>
      <c r="D117" s="1" t="s">
        <v>49</v>
      </c>
      <c r="E117" s="1" t="s">
        <v>83</v>
      </c>
      <c r="F117" s="1" t="s">
        <v>51</v>
      </c>
      <c r="G117" s="1" t="s">
        <v>45</v>
      </c>
      <c r="H117" s="3">
        <f t="shared" si="3"/>
        <v>3.3693287037037035E-2</v>
      </c>
    </row>
    <row r="118" spans="1:8" x14ac:dyDescent="0.25">
      <c r="A118" s="1" t="s">
        <v>408</v>
      </c>
      <c r="B118" s="2" t="s">
        <v>409</v>
      </c>
      <c r="C118" s="2" t="s">
        <v>410</v>
      </c>
      <c r="D118" s="1" t="s">
        <v>23</v>
      </c>
      <c r="E118" s="1" t="s">
        <v>30</v>
      </c>
      <c r="F118" s="1" t="s">
        <v>25</v>
      </c>
      <c r="G118" s="1" t="s">
        <v>26</v>
      </c>
      <c r="H118" s="3">
        <f t="shared" si="3"/>
        <v>1.4609953703703705E-2</v>
      </c>
    </row>
    <row r="119" spans="1:8" x14ac:dyDescent="0.25">
      <c r="A119" s="1" t="s">
        <v>411</v>
      </c>
      <c r="B119" s="2" t="s">
        <v>412</v>
      </c>
      <c r="C119" s="2" t="s">
        <v>413</v>
      </c>
      <c r="D119" s="1" t="s">
        <v>49</v>
      </c>
      <c r="E119" s="1" t="s">
        <v>70</v>
      </c>
      <c r="F119" s="1" t="s">
        <v>51</v>
      </c>
      <c r="G119" s="1" t="s">
        <v>26</v>
      </c>
      <c r="H119" s="3">
        <f t="shared" si="3"/>
        <v>1.4784722222222218E-2</v>
      </c>
    </row>
    <row r="120" spans="1:8" x14ac:dyDescent="0.25">
      <c r="A120" s="1" t="s">
        <v>414</v>
      </c>
      <c r="B120" s="2" t="s">
        <v>415</v>
      </c>
      <c r="C120" s="2" t="s">
        <v>416</v>
      </c>
      <c r="D120" s="1" t="s">
        <v>122</v>
      </c>
      <c r="E120" s="1" t="s">
        <v>50</v>
      </c>
      <c r="F120" s="1" t="s">
        <v>417</v>
      </c>
      <c r="G120" s="1" t="s">
        <v>45</v>
      </c>
      <c r="H120" s="3">
        <f t="shared" si="3"/>
        <v>1.220138888888889E-2</v>
      </c>
    </row>
    <row r="121" spans="1:8" x14ac:dyDescent="0.25">
      <c r="A121" s="1" t="s">
        <v>418</v>
      </c>
      <c r="B121" s="2" t="s">
        <v>419</v>
      </c>
      <c r="C121" s="2" t="s">
        <v>420</v>
      </c>
      <c r="D121" s="1" t="s">
        <v>35</v>
      </c>
      <c r="E121" s="1" t="s">
        <v>24</v>
      </c>
      <c r="F121" s="1" t="s">
        <v>37</v>
      </c>
      <c r="G121" s="1" t="s">
        <v>26</v>
      </c>
      <c r="H121" s="3">
        <f t="shared" si="3"/>
        <v>7.14814814814815E-3</v>
      </c>
    </row>
    <row r="122" spans="1:8" x14ac:dyDescent="0.25">
      <c r="A122" s="1" t="s">
        <v>421</v>
      </c>
      <c r="B122" s="2" t="s">
        <v>422</v>
      </c>
      <c r="C122" s="2" t="s">
        <v>423</v>
      </c>
      <c r="D122" s="1" t="s">
        <v>16</v>
      </c>
      <c r="E122" s="1" t="s">
        <v>41</v>
      </c>
      <c r="F122" s="1" t="s">
        <v>424</v>
      </c>
      <c r="G122" s="1" t="s">
        <v>26</v>
      </c>
      <c r="H122" s="3">
        <f t="shared" si="3"/>
        <v>1.5994212962962964E-2</v>
      </c>
    </row>
    <row r="123" spans="1:8" x14ac:dyDescent="0.25">
      <c r="A123" s="1" t="s">
        <v>425</v>
      </c>
      <c r="B123" s="2" t="s">
        <v>426</v>
      </c>
      <c r="C123" s="2" t="s">
        <v>427</v>
      </c>
      <c r="D123" s="1" t="s">
        <v>49</v>
      </c>
      <c r="E123" s="1" t="s">
        <v>65</v>
      </c>
      <c r="F123" s="1" t="s">
        <v>51</v>
      </c>
      <c r="G123" s="1" t="s">
        <v>26</v>
      </c>
      <c r="H123" s="3">
        <f t="shared" si="3"/>
        <v>1.6127314814814813E-2</v>
      </c>
    </row>
    <row r="124" spans="1:8" x14ac:dyDescent="0.25">
      <c r="A124" s="1" t="s">
        <v>428</v>
      </c>
      <c r="B124" s="2" t="s">
        <v>429</v>
      </c>
      <c r="C124" s="2" t="s">
        <v>430</v>
      </c>
      <c r="D124" s="1" t="s">
        <v>23</v>
      </c>
      <c r="E124" s="1" t="s">
        <v>17</v>
      </c>
      <c r="F124" s="1" t="s">
        <v>25</v>
      </c>
      <c r="G124" s="1" t="s">
        <v>26</v>
      </c>
      <c r="H124" s="3">
        <f t="shared" si="3"/>
        <v>1.7699074074074072E-2</v>
      </c>
    </row>
    <row r="125" spans="1:8" x14ac:dyDescent="0.25">
      <c r="A125" s="1" t="s">
        <v>431</v>
      </c>
      <c r="B125" s="2" t="s">
        <v>432</v>
      </c>
      <c r="C125" s="2" t="s">
        <v>433</v>
      </c>
      <c r="D125" s="1" t="s">
        <v>69</v>
      </c>
      <c r="E125" s="1" t="s">
        <v>24</v>
      </c>
      <c r="F125" s="1" t="s">
        <v>523</v>
      </c>
      <c r="G125" s="1" t="s">
        <v>26</v>
      </c>
      <c r="H125" s="3">
        <f t="shared" si="3"/>
        <v>3.4525462962962964E-3</v>
      </c>
    </row>
    <row r="126" spans="1:8" x14ac:dyDescent="0.25">
      <c r="A126" s="1" t="s">
        <v>434</v>
      </c>
      <c r="B126" s="2" t="s">
        <v>435</v>
      </c>
      <c r="C126" s="2" t="s">
        <v>68</v>
      </c>
      <c r="D126" s="1" t="s">
        <v>122</v>
      </c>
      <c r="E126" s="1" t="s">
        <v>83</v>
      </c>
      <c r="F126" s="1" t="s">
        <v>436</v>
      </c>
      <c r="G126" s="1" t="s">
        <v>26</v>
      </c>
      <c r="H126" s="3">
        <f t="shared" si="3"/>
        <v>2.9559027777777778E-2</v>
      </c>
    </row>
    <row r="127" spans="1:8" x14ac:dyDescent="0.25">
      <c r="A127" s="1" t="s">
        <v>437</v>
      </c>
      <c r="B127" s="2" t="s">
        <v>438</v>
      </c>
      <c r="C127" s="2" t="s">
        <v>439</v>
      </c>
      <c r="D127" s="1" t="s">
        <v>122</v>
      </c>
      <c r="E127" s="1" t="s">
        <v>36</v>
      </c>
      <c r="F127" s="1" t="s">
        <v>440</v>
      </c>
      <c r="G127" s="1" t="s">
        <v>26</v>
      </c>
      <c r="H127" s="3">
        <f t="shared" si="3"/>
        <v>1.1519675925925925E-2</v>
      </c>
    </row>
    <row r="128" spans="1:8" x14ac:dyDescent="0.25">
      <c r="A128" s="1" t="s">
        <v>441</v>
      </c>
      <c r="B128" s="2" t="s">
        <v>442</v>
      </c>
      <c r="C128" s="2" t="s">
        <v>443</v>
      </c>
      <c r="D128" s="1" t="s">
        <v>35</v>
      </c>
      <c r="E128" s="1" t="s">
        <v>50</v>
      </c>
      <c r="F128" s="1" t="s">
        <v>37</v>
      </c>
      <c r="G128" s="1" t="s">
        <v>45</v>
      </c>
      <c r="H128" s="3">
        <f t="shared" si="3"/>
        <v>1.2505787037037036E-2</v>
      </c>
    </row>
    <row r="129" spans="1:8" x14ac:dyDescent="0.25">
      <c r="A129" s="1" t="s">
        <v>444</v>
      </c>
      <c r="B129" s="2" t="s">
        <v>445</v>
      </c>
      <c r="C129" s="2" t="s">
        <v>446</v>
      </c>
      <c r="D129" s="1" t="s">
        <v>23</v>
      </c>
      <c r="E129" s="1" t="s">
        <v>83</v>
      </c>
      <c r="F129" s="1" t="s">
        <v>25</v>
      </c>
      <c r="G129" s="1" t="s">
        <v>45</v>
      </c>
      <c r="H129" s="3">
        <f t="shared" si="3"/>
        <v>1.5046296296296682E-4</v>
      </c>
    </row>
    <row r="130" spans="1:8" x14ac:dyDescent="0.25">
      <c r="A130" s="1" t="s">
        <v>447</v>
      </c>
      <c r="B130" s="2" t="s">
        <v>448</v>
      </c>
      <c r="C130" s="2" t="s">
        <v>449</v>
      </c>
      <c r="D130" s="1" t="s">
        <v>69</v>
      </c>
      <c r="E130" s="1" t="s">
        <v>30</v>
      </c>
      <c r="F130" s="1" t="s">
        <v>523</v>
      </c>
      <c r="G130" s="1" t="s">
        <v>19</v>
      </c>
      <c r="H130" s="3">
        <f t="shared" ref="H130:H151" si="4">ABS(C130-B130)</f>
        <v>1.144097222222222E-2</v>
      </c>
    </row>
    <row r="131" spans="1:8" x14ac:dyDescent="0.25">
      <c r="A131" s="1" t="s">
        <v>450</v>
      </c>
      <c r="B131" s="2" t="s">
        <v>451</v>
      </c>
      <c r="C131" s="2" t="s">
        <v>452</v>
      </c>
      <c r="D131" s="1" t="s">
        <v>16</v>
      </c>
      <c r="E131" s="1" t="s">
        <v>24</v>
      </c>
      <c r="F131" s="1" t="s">
        <v>453</v>
      </c>
      <c r="G131" s="1" t="s">
        <v>26</v>
      </c>
      <c r="H131" s="3">
        <f t="shared" si="4"/>
        <v>1.4749999999999996E-2</v>
      </c>
    </row>
    <row r="132" spans="1:8" x14ac:dyDescent="0.25">
      <c r="A132" s="1" t="s">
        <v>454</v>
      </c>
      <c r="B132" s="2" t="s">
        <v>455</v>
      </c>
      <c r="C132" s="2" t="s">
        <v>456</v>
      </c>
      <c r="D132" s="1" t="s">
        <v>122</v>
      </c>
      <c r="E132" s="1" t="s">
        <v>55</v>
      </c>
      <c r="F132" s="1" t="s">
        <v>457</v>
      </c>
      <c r="G132" s="1" t="s">
        <v>45</v>
      </c>
      <c r="H132" s="3">
        <f t="shared" si="4"/>
        <v>1.1877314814814823E-2</v>
      </c>
    </row>
    <row r="133" spans="1:8" x14ac:dyDescent="0.25">
      <c r="A133" s="1" t="s">
        <v>458</v>
      </c>
      <c r="B133" s="2" t="s">
        <v>459</v>
      </c>
      <c r="C133" s="2" t="s">
        <v>460</v>
      </c>
      <c r="D133" s="1" t="s">
        <v>122</v>
      </c>
      <c r="E133" s="1" t="s">
        <v>30</v>
      </c>
      <c r="F133" s="1" t="s">
        <v>461</v>
      </c>
      <c r="G133" s="1" t="s">
        <v>45</v>
      </c>
      <c r="H133" s="3">
        <f t="shared" si="4"/>
        <v>6.5254629629629603E-3</v>
      </c>
    </row>
    <row r="134" spans="1:8" x14ac:dyDescent="0.25">
      <c r="A134" s="1" t="s">
        <v>462</v>
      </c>
      <c r="B134" s="2" t="s">
        <v>463</v>
      </c>
      <c r="C134" s="2" t="s">
        <v>464</v>
      </c>
      <c r="D134" s="1" t="s">
        <v>16</v>
      </c>
      <c r="E134" s="1" t="s">
        <v>65</v>
      </c>
      <c r="F134" s="1" t="s">
        <v>465</v>
      </c>
      <c r="G134" s="1" t="s">
        <v>45</v>
      </c>
      <c r="H134" s="3">
        <f t="shared" si="4"/>
        <v>2.2549768518518521E-2</v>
      </c>
    </row>
    <row r="135" spans="1:8" x14ac:dyDescent="0.25">
      <c r="A135" s="1" t="s">
        <v>466</v>
      </c>
      <c r="B135" s="2" t="s">
        <v>467</v>
      </c>
      <c r="C135" s="2" t="s">
        <v>468</v>
      </c>
      <c r="D135" s="1" t="s">
        <v>49</v>
      </c>
      <c r="E135" s="1" t="s">
        <v>36</v>
      </c>
      <c r="F135" s="1" t="s">
        <v>51</v>
      </c>
      <c r="G135" s="1" t="s">
        <v>19</v>
      </c>
      <c r="H135" s="3">
        <f t="shared" si="4"/>
        <v>1.3946759259259264E-3</v>
      </c>
    </row>
    <row r="136" spans="1:8" x14ac:dyDescent="0.25">
      <c r="A136" s="1" t="s">
        <v>469</v>
      </c>
      <c r="B136" s="2" t="s">
        <v>470</v>
      </c>
      <c r="C136" s="2" t="s">
        <v>471</v>
      </c>
      <c r="D136" s="1" t="s">
        <v>16</v>
      </c>
      <c r="E136" s="1" t="s">
        <v>50</v>
      </c>
      <c r="F136" s="1" t="s">
        <v>472</v>
      </c>
      <c r="G136" s="1" t="s">
        <v>45</v>
      </c>
      <c r="H136" s="3">
        <f t="shared" si="4"/>
        <v>2.4859953703703704E-2</v>
      </c>
    </row>
    <row r="137" spans="1:8" x14ac:dyDescent="0.25">
      <c r="A137" s="1" t="s">
        <v>473</v>
      </c>
      <c r="B137" s="2" t="s">
        <v>474</v>
      </c>
      <c r="C137" s="2" t="s">
        <v>475</v>
      </c>
      <c r="D137" s="1" t="s">
        <v>90</v>
      </c>
      <c r="E137" s="1" t="s">
        <v>55</v>
      </c>
      <c r="F137" s="1" t="s">
        <v>476</v>
      </c>
      <c r="G137" s="1" t="s">
        <v>45</v>
      </c>
      <c r="H137" s="3">
        <f t="shared" si="4"/>
        <v>7.6539351851851803E-3</v>
      </c>
    </row>
    <row r="138" spans="1:8" x14ac:dyDescent="0.25">
      <c r="A138" s="1" t="s">
        <v>477</v>
      </c>
      <c r="B138" s="2" t="s">
        <v>478</v>
      </c>
      <c r="C138" s="2" t="s">
        <v>479</v>
      </c>
      <c r="D138" s="1" t="s">
        <v>35</v>
      </c>
      <c r="E138" s="1" t="s">
        <v>55</v>
      </c>
      <c r="F138" s="1" t="s">
        <v>37</v>
      </c>
      <c r="G138" s="1" t="s">
        <v>45</v>
      </c>
      <c r="H138" s="3">
        <f t="shared" si="4"/>
        <v>2.0196759259259178E-3</v>
      </c>
    </row>
    <row r="139" spans="1:8" x14ac:dyDescent="0.25">
      <c r="A139" s="1" t="s">
        <v>480</v>
      </c>
      <c r="B139" s="2" t="s">
        <v>481</v>
      </c>
      <c r="C139" s="2" t="s">
        <v>482</v>
      </c>
      <c r="D139" s="1" t="s">
        <v>35</v>
      </c>
      <c r="E139" s="1" t="s">
        <v>24</v>
      </c>
      <c r="F139" s="1" t="s">
        <v>37</v>
      </c>
      <c r="G139" s="1" t="s">
        <v>45</v>
      </c>
      <c r="H139" s="3">
        <f t="shared" si="4"/>
        <v>1.5682870370370347E-3</v>
      </c>
    </row>
    <row r="140" spans="1:8" x14ac:dyDescent="0.25">
      <c r="A140" s="1" t="s">
        <v>483</v>
      </c>
      <c r="B140" s="2" t="s">
        <v>484</v>
      </c>
      <c r="C140" s="2" t="s">
        <v>485</v>
      </c>
      <c r="D140" s="1" t="s">
        <v>23</v>
      </c>
      <c r="E140" s="1" t="s">
        <v>17</v>
      </c>
      <c r="F140" s="1" t="s">
        <v>25</v>
      </c>
      <c r="G140" s="1" t="s">
        <v>26</v>
      </c>
      <c r="H140" s="3">
        <f t="shared" si="4"/>
        <v>1.2787037037037034E-2</v>
      </c>
    </row>
    <row r="141" spans="1:8" x14ac:dyDescent="0.25">
      <c r="A141" s="1" t="s">
        <v>486</v>
      </c>
      <c r="B141" s="2" t="s">
        <v>487</v>
      </c>
      <c r="C141" s="2" t="s">
        <v>488</v>
      </c>
      <c r="D141" s="1" t="s">
        <v>69</v>
      </c>
      <c r="E141" s="1" t="s">
        <v>55</v>
      </c>
      <c r="F141" s="1" t="s">
        <v>523</v>
      </c>
      <c r="G141" s="1" t="s">
        <v>45</v>
      </c>
      <c r="H141" s="3">
        <f t="shared" si="4"/>
        <v>9.8449074074074099E-3</v>
      </c>
    </row>
    <row r="142" spans="1:8" x14ac:dyDescent="0.25">
      <c r="A142" s="1" t="s">
        <v>489</v>
      </c>
      <c r="B142" s="2" t="s">
        <v>490</v>
      </c>
      <c r="C142" s="2" t="s">
        <v>491</v>
      </c>
      <c r="D142" s="1" t="s">
        <v>35</v>
      </c>
      <c r="E142" s="1" t="s">
        <v>70</v>
      </c>
      <c r="F142" s="1" t="s">
        <v>37</v>
      </c>
      <c r="G142" s="1" t="s">
        <v>26</v>
      </c>
      <c r="H142" s="3">
        <f t="shared" si="4"/>
        <v>5.1041666666666666E-3</v>
      </c>
    </row>
    <row r="143" spans="1:8" x14ac:dyDescent="0.25">
      <c r="A143" s="1" t="s">
        <v>492</v>
      </c>
      <c r="B143" s="2" t="s">
        <v>493</v>
      </c>
      <c r="C143" s="2" t="s">
        <v>494</v>
      </c>
      <c r="D143" s="1" t="s">
        <v>35</v>
      </c>
      <c r="E143" s="1" t="s">
        <v>17</v>
      </c>
      <c r="F143" s="1" t="s">
        <v>37</v>
      </c>
      <c r="G143" s="1" t="s">
        <v>26</v>
      </c>
      <c r="H143" s="3">
        <f t="shared" si="4"/>
        <v>5.4791666666666669E-3</v>
      </c>
    </row>
    <row r="144" spans="1:8" x14ac:dyDescent="0.25">
      <c r="A144" s="1" t="s">
        <v>495</v>
      </c>
      <c r="B144" s="2" t="s">
        <v>496</v>
      </c>
      <c r="C144" s="2" t="s">
        <v>497</v>
      </c>
      <c r="D144" s="1" t="s">
        <v>69</v>
      </c>
      <c r="E144" s="1" t="s">
        <v>41</v>
      </c>
      <c r="F144" s="1" t="s">
        <v>523</v>
      </c>
      <c r="G144" s="1" t="s">
        <v>26</v>
      </c>
      <c r="H144" s="3">
        <f t="shared" si="4"/>
        <v>9.7222222222222206E-3</v>
      </c>
    </row>
    <row r="145" spans="1:8" x14ac:dyDescent="0.25">
      <c r="A145" s="1" t="s">
        <v>498</v>
      </c>
      <c r="B145" s="2" t="s">
        <v>499</v>
      </c>
      <c r="C145" s="2" t="s">
        <v>500</v>
      </c>
      <c r="D145" s="1" t="s">
        <v>35</v>
      </c>
      <c r="E145" s="1" t="s">
        <v>36</v>
      </c>
      <c r="F145" s="1" t="s">
        <v>37</v>
      </c>
      <c r="G145" s="1" t="s">
        <v>45</v>
      </c>
      <c r="H145" s="3">
        <f t="shared" si="4"/>
        <v>7.5231481481488616E-5</v>
      </c>
    </row>
    <row r="146" spans="1:8" x14ac:dyDescent="0.25">
      <c r="A146" s="1" t="s">
        <v>501</v>
      </c>
      <c r="B146" s="2" t="s">
        <v>502</v>
      </c>
      <c r="C146" s="2" t="s">
        <v>503</v>
      </c>
      <c r="D146" s="1" t="s">
        <v>23</v>
      </c>
      <c r="E146" s="1" t="s">
        <v>70</v>
      </c>
      <c r="F146" s="1" t="s">
        <v>25</v>
      </c>
      <c r="G146" s="1" t="s">
        <v>26</v>
      </c>
      <c r="H146" s="3">
        <f t="shared" si="4"/>
        <v>9.5601851851851855E-3</v>
      </c>
    </row>
    <row r="147" spans="1:8" x14ac:dyDescent="0.25">
      <c r="A147" s="1" t="s">
        <v>504</v>
      </c>
      <c r="B147" s="2" t="s">
        <v>505</v>
      </c>
      <c r="C147" s="2" t="s">
        <v>506</v>
      </c>
      <c r="D147" s="1" t="s">
        <v>122</v>
      </c>
      <c r="E147" s="1" t="s">
        <v>36</v>
      </c>
      <c r="F147" s="1" t="s">
        <v>507</v>
      </c>
      <c r="G147" s="1" t="s">
        <v>176</v>
      </c>
      <c r="H147" s="3">
        <f t="shared" si="4"/>
        <v>4.0393518518519467E-4</v>
      </c>
    </row>
    <row r="148" spans="1:8" x14ac:dyDescent="0.25">
      <c r="A148" s="1" t="s">
        <v>508</v>
      </c>
      <c r="B148" s="2" t="s">
        <v>509</v>
      </c>
      <c r="C148" s="2" t="s">
        <v>510</v>
      </c>
      <c r="D148" s="1" t="s">
        <v>69</v>
      </c>
      <c r="E148" s="1" t="s">
        <v>55</v>
      </c>
      <c r="F148" s="1" t="s">
        <v>523</v>
      </c>
      <c r="G148" s="1" t="s">
        <v>19</v>
      </c>
      <c r="H148" s="3">
        <f t="shared" si="4"/>
        <v>3.5390046296296294E-2</v>
      </c>
    </row>
    <row r="149" spans="1:8" x14ac:dyDescent="0.25">
      <c r="A149" s="1" t="s">
        <v>511</v>
      </c>
      <c r="B149" s="2" t="s">
        <v>512</v>
      </c>
      <c r="C149" s="2" t="s">
        <v>513</v>
      </c>
      <c r="D149" s="1" t="s">
        <v>90</v>
      </c>
      <c r="E149" s="1" t="s">
        <v>36</v>
      </c>
      <c r="F149" s="1" t="s">
        <v>514</v>
      </c>
      <c r="G149" s="1" t="s">
        <v>45</v>
      </c>
      <c r="H149" s="3">
        <f t="shared" si="4"/>
        <v>3.8578703703703698E-2</v>
      </c>
    </row>
    <row r="150" spans="1:8" x14ac:dyDescent="0.25">
      <c r="A150" s="1" t="s">
        <v>515</v>
      </c>
      <c r="B150" s="2" t="s">
        <v>516</v>
      </c>
      <c r="C150" s="2" t="s">
        <v>517</v>
      </c>
      <c r="D150" s="1" t="s">
        <v>16</v>
      </c>
      <c r="E150" s="1" t="s">
        <v>65</v>
      </c>
      <c r="F150" s="1" t="s">
        <v>518</v>
      </c>
      <c r="G150" s="1" t="s">
        <v>26</v>
      </c>
      <c r="H150" s="3">
        <f t="shared" si="4"/>
        <v>1.9418981481481475E-2</v>
      </c>
    </row>
    <row r="151" spans="1:8" x14ac:dyDescent="0.25">
      <c r="A151" s="1" t="s">
        <v>519</v>
      </c>
      <c r="B151" s="2" t="s">
        <v>520</v>
      </c>
      <c r="C151" s="2" t="s">
        <v>521</v>
      </c>
      <c r="D151" s="1" t="s">
        <v>35</v>
      </c>
      <c r="E151" s="1" t="s">
        <v>17</v>
      </c>
      <c r="F151" s="1" t="s">
        <v>37</v>
      </c>
      <c r="G151" s="1" t="s">
        <v>26</v>
      </c>
      <c r="H151" s="3">
        <f t="shared" si="4"/>
        <v>5.3935185185185336E-4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workbookViewId="0">
      <selection activeCell="J15" sqref="J15:J16"/>
    </sheetView>
  </sheetViews>
  <sheetFormatPr defaultRowHeight="15" x14ac:dyDescent="0.25"/>
  <cols>
    <col min="1" max="1" width="12.42578125" customWidth="1"/>
    <col min="5" max="5" width="19.85546875" customWidth="1"/>
    <col min="6" max="6" width="55.7109375" customWidth="1"/>
    <col min="7" max="7" width="12.7109375" customWidth="1"/>
    <col min="8" max="8" width="13.28515625" customWidth="1"/>
    <col min="10" max="10" width="28" customWidth="1"/>
  </cols>
  <sheetData>
    <row r="1" spans="1:10" x14ac:dyDescent="0.25">
      <c r="A1" s="1" t="s">
        <v>6</v>
      </c>
      <c r="B1" s="3" t="s">
        <v>7</v>
      </c>
      <c r="C1" s="3" t="s">
        <v>8</v>
      </c>
      <c r="D1" s="1" t="s">
        <v>9</v>
      </c>
      <c r="E1" s="1" t="s">
        <v>10</v>
      </c>
      <c r="F1" s="1" t="s">
        <v>11</v>
      </c>
      <c r="G1" s="1" t="s">
        <v>12</v>
      </c>
      <c r="H1" s="3" t="s">
        <v>522</v>
      </c>
    </row>
    <row r="2" spans="1:10" x14ac:dyDescent="0.25">
      <c r="A2" s="1" t="s">
        <v>13</v>
      </c>
      <c r="B2" s="2" t="s">
        <v>14</v>
      </c>
      <c r="C2" s="2" t="s">
        <v>15</v>
      </c>
      <c r="D2" s="1" t="s">
        <v>16</v>
      </c>
      <c r="E2" s="1" t="s">
        <v>17</v>
      </c>
      <c r="F2" s="1" t="s">
        <v>524</v>
      </c>
      <c r="G2" s="1" t="s">
        <v>19</v>
      </c>
      <c r="H2" s="3">
        <f t="shared" ref="H2:H65" si="0">ABS(C2-B2)</f>
        <v>7.2291666666666685E-3</v>
      </c>
      <c r="J2" t="s">
        <v>531</v>
      </c>
    </row>
    <row r="3" spans="1:10" x14ac:dyDescent="0.25">
      <c r="A3" s="1" t="s">
        <v>20</v>
      </c>
      <c r="B3" s="2" t="s">
        <v>21</v>
      </c>
      <c r="C3" s="2" t="s">
        <v>22</v>
      </c>
      <c r="D3" s="1" t="s">
        <v>23</v>
      </c>
      <c r="E3" s="1" t="s">
        <v>24</v>
      </c>
      <c r="F3" s="1" t="s">
        <v>25</v>
      </c>
      <c r="G3" s="1" t="s">
        <v>26</v>
      </c>
      <c r="H3" s="3">
        <f t="shared" si="0"/>
        <v>6.8668981481481497E-3</v>
      </c>
      <c r="J3" t="s">
        <v>532</v>
      </c>
    </row>
    <row r="4" spans="1:10" x14ac:dyDescent="0.25">
      <c r="A4" s="1" t="s">
        <v>27</v>
      </c>
      <c r="B4" s="2" t="s">
        <v>28</v>
      </c>
      <c r="C4" s="2" t="s">
        <v>29</v>
      </c>
      <c r="D4" s="1" t="s">
        <v>16</v>
      </c>
      <c r="E4" s="1" t="s">
        <v>30</v>
      </c>
      <c r="F4" s="1" t="s">
        <v>524</v>
      </c>
      <c r="G4" s="1" t="s">
        <v>26</v>
      </c>
      <c r="H4" s="3">
        <f t="shared" si="0"/>
        <v>1.2893518518518519E-2</v>
      </c>
      <c r="J4" s="3">
        <f>AVERAGE(help_desk_tickets3[[#All],[resolution time]])</f>
        <v>1.3243472222222224E-2</v>
      </c>
    </row>
    <row r="5" spans="1:10" x14ac:dyDescent="0.25">
      <c r="A5" s="1" t="s">
        <v>32</v>
      </c>
      <c r="B5" s="2" t="s">
        <v>33</v>
      </c>
      <c r="C5" s="2" t="s">
        <v>34</v>
      </c>
      <c r="D5" s="1" t="s">
        <v>35</v>
      </c>
      <c r="E5" s="1" t="s">
        <v>36</v>
      </c>
      <c r="F5" s="1" t="s">
        <v>37</v>
      </c>
      <c r="G5" s="1" t="s">
        <v>19</v>
      </c>
      <c r="H5" s="3">
        <f t="shared" si="0"/>
        <v>6.4201388888888884E-3</v>
      </c>
    </row>
    <row r="6" spans="1:10" x14ac:dyDescent="0.25">
      <c r="A6" s="1" t="s">
        <v>38</v>
      </c>
      <c r="B6" s="2" t="s">
        <v>39</v>
      </c>
      <c r="C6" s="2" t="s">
        <v>40</v>
      </c>
      <c r="D6" s="1" t="s">
        <v>23</v>
      </c>
      <c r="E6" s="1" t="s">
        <v>41</v>
      </c>
      <c r="F6" s="1" t="s">
        <v>25</v>
      </c>
      <c r="G6" s="1" t="s">
        <v>19</v>
      </c>
      <c r="H6" s="3">
        <f t="shared" si="0"/>
        <v>4.8449074074074089E-3</v>
      </c>
      <c r="J6" t="s">
        <v>533</v>
      </c>
    </row>
    <row r="7" spans="1:10" x14ac:dyDescent="0.25">
      <c r="A7" s="1" t="s">
        <v>42</v>
      </c>
      <c r="B7" s="2" t="s">
        <v>43</v>
      </c>
      <c r="C7" s="2" t="s">
        <v>44</v>
      </c>
      <c r="D7" s="1" t="s">
        <v>23</v>
      </c>
      <c r="E7" s="1" t="s">
        <v>30</v>
      </c>
      <c r="F7" s="1" t="s">
        <v>25</v>
      </c>
      <c r="G7" s="1" t="s">
        <v>45</v>
      </c>
      <c r="H7" s="3">
        <f t="shared" si="0"/>
        <v>1.3903935185185182E-2</v>
      </c>
      <c r="J7">
        <v>10</v>
      </c>
    </row>
    <row r="8" spans="1:10" x14ac:dyDescent="0.25">
      <c r="A8" s="1" t="s">
        <v>46</v>
      </c>
      <c r="B8" s="2" t="s">
        <v>47</v>
      </c>
      <c r="C8" s="2" t="s">
        <v>48</v>
      </c>
      <c r="D8" s="1" t="s">
        <v>49</v>
      </c>
      <c r="E8" s="1" t="s">
        <v>50</v>
      </c>
      <c r="F8" s="1" t="s">
        <v>51</v>
      </c>
      <c r="G8" s="1" t="s">
        <v>45</v>
      </c>
      <c r="H8" s="3">
        <f t="shared" si="0"/>
        <v>1.8358796296296293E-2</v>
      </c>
    </row>
    <row r="9" spans="1:10" x14ac:dyDescent="0.25">
      <c r="A9" s="1" t="s">
        <v>52</v>
      </c>
      <c r="B9" s="2" t="s">
        <v>53</v>
      </c>
      <c r="C9" s="2" t="s">
        <v>54</v>
      </c>
      <c r="D9" s="1" t="s">
        <v>23</v>
      </c>
      <c r="E9" s="1" t="s">
        <v>55</v>
      </c>
      <c r="F9" s="1" t="s">
        <v>25</v>
      </c>
      <c r="G9" s="1" t="s">
        <v>45</v>
      </c>
      <c r="H9" s="3">
        <f t="shared" si="0"/>
        <v>1.1903935185185188E-2</v>
      </c>
      <c r="J9" t="s">
        <v>534</v>
      </c>
    </row>
    <row r="10" spans="1:10" x14ac:dyDescent="0.25">
      <c r="A10" s="1" t="s">
        <v>56</v>
      </c>
      <c r="B10" s="2" t="s">
        <v>57</v>
      </c>
      <c r="C10" s="2" t="s">
        <v>58</v>
      </c>
      <c r="D10" s="1" t="s">
        <v>35</v>
      </c>
      <c r="E10" s="1" t="s">
        <v>55</v>
      </c>
      <c r="F10" s="1" t="s">
        <v>37</v>
      </c>
      <c r="G10" s="1" t="s">
        <v>26</v>
      </c>
      <c r="H10" s="3">
        <f t="shared" si="0"/>
        <v>2.552662037037037E-2</v>
      </c>
      <c r="J10">
        <f>COUNTA(A2:A151)</f>
        <v>150</v>
      </c>
    </row>
    <row r="11" spans="1:10" x14ac:dyDescent="0.25">
      <c r="A11" s="1" t="s">
        <v>59</v>
      </c>
      <c r="B11" s="2" t="s">
        <v>60</v>
      </c>
      <c r="C11" s="2" t="s">
        <v>61</v>
      </c>
      <c r="D11" s="1" t="s">
        <v>23</v>
      </c>
      <c r="E11" s="1" t="s">
        <v>30</v>
      </c>
      <c r="F11" s="1" t="s">
        <v>25</v>
      </c>
      <c r="G11" s="1" t="s">
        <v>26</v>
      </c>
      <c r="H11" s="3">
        <f t="shared" si="0"/>
        <v>6.299768518518517E-3</v>
      </c>
    </row>
    <row r="12" spans="1:10" x14ac:dyDescent="0.25">
      <c r="A12" s="1" t="s">
        <v>62</v>
      </c>
      <c r="B12" s="2" t="s">
        <v>63</v>
      </c>
      <c r="C12" s="2" t="s">
        <v>64</v>
      </c>
      <c r="D12" s="1" t="s">
        <v>23</v>
      </c>
      <c r="E12" s="1" t="s">
        <v>65</v>
      </c>
      <c r="F12" s="1" t="s">
        <v>25</v>
      </c>
      <c r="G12" s="1" t="s">
        <v>45</v>
      </c>
      <c r="H12" s="3">
        <f t="shared" si="0"/>
        <v>5.8981481481481472E-3</v>
      </c>
      <c r="J12" t="s">
        <v>535</v>
      </c>
    </row>
    <row r="13" spans="1:10" x14ac:dyDescent="0.25">
      <c r="A13" s="1" t="s">
        <v>66</v>
      </c>
      <c r="B13" s="2" t="s">
        <v>67</v>
      </c>
      <c r="C13" s="2" t="s">
        <v>68</v>
      </c>
      <c r="D13" s="1" t="s">
        <v>69</v>
      </c>
      <c r="E13" s="1" t="s">
        <v>70</v>
      </c>
      <c r="F13" s="1" t="s">
        <v>523</v>
      </c>
      <c r="G13" s="1" t="s">
        <v>19</v>
      </c>
      <c r="H13" s="3">
        <f t="shared" si="0"/>
        <v>6.7824074074074037E-3</v>
      </c>
      <c r="J13" t="s">
        <v>23</v>
      </c>
    </row>
    <row r="14" spans="1:10" x14ac:dyDescent="0.25">
      <c r="A14" s="1" t="s">
        <v>71</v>
      </c>
      <c r="B14" s="2" t="s">
        <v>72</v>
      </c>
      <c r="C14" s="2" t="s">
        <v>73</v>
      </c>
      <c r="D14" s="1" t="s">
        <v>69</v>
      </c>
      <c r="E14" s="1" t="s">
        <v>17</v>
      </c>
      <c r="F14" s="1" t="s">
        <v>523</v>
      </c>
      <c r="G14" s="1" t="s">
        <v>26</v>
      </c>
      <c r="H14" s="3">
        <f t="shared" si="0"/>
        <v>4.7928240740740813E-3</v>
      </c>
    </row>
    <row r="15" spans="1:10" x14ac:dyDescent="0.25">
      <c r="A15" s="1" t="s">
        <v>74</v>
      </c>
      <c r="B15" s="2" t="s">
        <v>75</v>
      </c>
      <c r="C15" s="2" t="s">
        <v>76</v>
      </c>
      <c r="D15" s="1" t="s">
        <v>23</v>
      </c>
      <c r="E15" s="1" t="s">
        <v>55</v>
      </c>
      <c r="F15" s="1" t="s">
        <v>25</v>
      </c>
      <c r="G15" s="1" t="s">
        <v>45</v>
      </c>
      <c r="H15" s="3">
        <f t="shared" si="0"/>
        <v>3.1831018518518515E-2</v>
      </c>
      <c r="J15" t="s">
        <v>536</v>
      </c>
    </row>
    <row r="16" spans="1:10" x14ac:dyDescent="0.25">
      <c r="A16" s="1" t="s">
        <v>77</v>
      </c>
      <c r="B16" s="2" t="s">
        <v>78</v>
      </c>
      <c r="C16" s="2" t="s">
        <v>79</v>
      </c>
      <c r="D16" s="1" t="s">
        <v>23</v>
      </c>
      <c r="E16" s="1" t="s">
        <v>24</v>
      </c>
      <c r="F16" s="1" t="s">
        <v>25</v>
      </c>
      <c r="G16" s="1" t="s">
        <v>19</v>
      </c>
      <c r="H16" s="3">
        <f t="shared" si="0"/>
        <v>1.4887731481481483E-2</v>
      </c>
      <c r="J16" t="s">
        <v>537</v>
      </c>
    </row>
    <row r="17" spans="1:8" x14ac:dyDescent="0.25">
      <c r="A17" s="1" t="s">
        <v>80</v>
      </c>
      <c r="B17" s="2" t="s">
        <v>81</v>
      </c>
      <c r="C17" s="2" t="s">
        <v>82</v>
      </c>
      <c r="D17" s="1" t="s">
        <v>23</v>
      </c>
      <c r="E17" s="1" t="s">
        <v>83</v>
      </c>
      <c r="F17" s="1" t="s">
        <v>25</v>
      </c>
      <c r="G17" s="1" t="s">
        <v>19</v>
      </c>
      <c r="H17" s="3">
        <f t="shared" si="0"/>
        <v>9.8298611111111104E-3</v>
      </c>
    </row>
    <row r="18" spans="1:8" x14ac:dyDescent="0.25">
      <c r="A18" s="1" t="s">
        <v>84</v>
      </c>
      <c r="B18" s="2" t="s">
        <v>85</v>
      </c>
      <c r="C18" s="2" t="s">
        <v>86</v>
      </c>
      <c r="D18" s="1" t="s">
        <v>23</v>
      </c>
      <c r="E18" s="1" t="s">
        <v>55</v>
      </c>
      <c r="F18" s="1" t="s">
        <v>25</v>
      </c>
      <c r="G18" s="1" t="s">
        <v>45</v>
      </c>
      <c r="H18" s="3">
        <f t="shared" si="0"/>
        <v>2.3059027777777776E-2</v>
      </c>
    </row>
    <row r="19" spans="1:8" x14ac:dyDescent="0.25">
      <c r="A19" s="1" t="s">
        <v>87</v>
      </c>
      <c r="B19" s="2" t="s">
        <v>88</v>
      </c>
      <c r="C19" s="2" t="s">
        <v>89</v>
      </c>
      <c r="D19" s="1" t="s">
        <v>90</v>
      </c>
      <c r="E19" s="1" t="s">
        <v>17</v>
      </c>
      <c r="F19" s="1" t="s">
        <v>524</v>
      </c>
      <c r="G19" s="1" t="s">
        <v>45</v>
      </c>
      <c r="H19" s="3">
        <f t="shared" si="0"/>
        <v>3.416666666666672E-3</v>
      </c>
    </row>
    <row r="20" spans="1:8" x14ac:dyDescent="0.25">
      <c r="A20" s="1" t="s">
        <v>92</v>
      </c>
      <c r="B20" s="2" t="s">
        <v>93</v>
      </c>
      <c r="C20" s="2" t="s">
        <v>94</v>
      </c>
      <c r="D20" s="1" t="s">
        <v>69</v>
      </c>
      <c r="E20" s="1" t="s">
        <v>36</v>
      </c>
      <c r="F20" s="1" t="s">
        <v>523</v>
      </c>
      <c r="G20" s="1" t="s">
        <v>45</v>
      </c>
      <c r="H20" s="3">
        <f t="shared" si="0"/>
        <v>3.1489583333333335E-2</v>
      </c>
    </row>
    <row r="21" spans="1:8" x14ac:dyDescent="0.25">
      <c r="A21" s="1" t="s">
        <v>95</v>
      </c>
      <c r="B21" s="2" t="s">
        <v>96</v>
      </c>
      <c r="C21" s="2" t="s">
        <v>97</v>
      </c>
      <c r="D21" s="1" t="s">
        <v>35</v>
      </c>
      <c r="E21" s="1" t="s">
        <v>36</v>
      </c>
      <c r="F21" s="1" t="s">
        <v>37</v>
      </c>
      <c r="G21" s="1" t="s">
        <v>26</v>
      </c>
      <c r="H21" s="3">
        <f t="shared" si="0"/>
        <v>2.179976851851852E-2</v>
      </c>
    </row>
    <row r="22" spans="1:8" x14ac:dyDescent="0.25">
      <c r="A22" s="1" t="s">
        <v>98</v>
      </c>
      <c r="B22" s="2" t="s">
        <v>99</v>
      </c>
      <c r="C22" s="2" t="s">
        <v>100</v>
      </c>
      <c r="D22" s="1" t="s">
        <v>23</v>
      </c>
      <c r="E22" s="1" t="s">
        <v>24</v>
      </c>
      <c r="F22" s="1" t="s">
        <v>25</v>
      </c>
      <c r="G22" s="1" t="s">
        <v>26</v>
      </c>
      <c r="H22" s="3">
        <f t="shared" si="0"/>
        <v>2.9831018518518521E-2</v>
      </c>
    </row>
    <row r="23" spans="1:8" x14ac:dyDescent="0.25">
      <c r="A23" s="1" t="s">
        <v>101</v>
      </c>
      <c r="B23" s="2" t="s">
        <v>102</v>
      </c>
      <c r="C23" s="2" t="s">
        <v>103</v>
      </c>
      <c r="D23" s="1" t="s">
        <v>23</v>
      </c>
      <c r="E23" s="1" t="s">
        <v>17</v>
      </c>
      <c r="F23" s="1" t="s">
        <v>25</v>
      </c>
      <c r="G23" s="1" t="s">
        <v>26</v>
      </c>
      <c r="H23" s="3">
        <f t="shared" si="0"/>
        <v>6.7638888888888887E-3</v>
      </c>
    </row>
    <row r="24" spans="1:8" x14ac:dyDescent="0.25">
      <c r="A24" s="1" t="s">
        <v>104</v>
      </c>
      <c r="B24" s="2" t="s">
        <v>105</v>
      </c>
      <c r="C24" s="2" t="s">
        <v>106</v>
      </c>
      <c r="D24" s="1" t="s">
        <v>23</v>
      </c>
      <c r="E24" s="1" t="s">
        <v>65</v>
      </c>
      <c r="F24" s="1" t="s">
        <v>25</v>
      </c>
      <c r="G24" s="1" t="s">
        <v>26</v>
      </c>
      <c r="H24" s="3">
        <f t="shared" si="0"/>
        <v>3.1099537037037016E-3</v>
      </c>
    </row>
    <row r="25" spans="1:8" x14ac:dyDescent="0.25">
      <c r="A25" s="1" t="s">
        <v>107</v>
      </c>
      <c r="B25" s="2" t="s">
        <v>108</v>
      </c>
      <c r="C25" s="2" t="s">
        <v>109</v>
      </c>
      <c r="D25" s="1" t="s">
        <v>23</v>
      </c>
      <c r="E25" s="1" t="s">
        <v>41</v>
      </c>
      <c r="F25" s="1" t="s">
        <v>25</v>
      </c>
      <c r="G25" s="1" t="s">
        <v>26</v>
      </c>
      <c r="H25" s="3">
        <f t="shared" si="0"/>
        <v>2.8703703703703703E-3</v>
      </c>
    </row>
    <row r="26" spans="1:8" x14ac:dyDescent="0.25">
      <c r="A26" s="1" t="s">
        <v>110</v>
      </c>
      <c r="B26" s="2" t="s">
        <v>111</v>
      </c>
      <c r="C26" s="2" t="s">
        <v>112</v>
      </c>
      <c r="D26" s="1" t="s">
        <v>69</v>
      </c>
      <c r="E26" s="1" t="s">
        <v>36</v>
      </c>
      <c r="F26" s="1" t="s">
        <v>523</v>
      </c>
      <c r="G26" s="1" t="s">
        <v>45</v>
      </c>
      <c r="H26" s="3">
        <f t="shared" si="0"/>
        <v>3.4479166666666686E-3</v>
      </c>
    </row>
    <row r="27" spans="1:8" x14ac:dyDescent="0.25">
      <c r="A27" s="1" t="s">
        <v>113</v>
      </c>
      <c r="B27" s="2" t="s">
        <v>114</v>
      </c>
      <c r="C27" s="2" t="s">
        <v>115</v>
      </c>
      <c r="D27" s="1" t="s">
        <v>23</v>
      </c>
      <c r="E27" s="1" t="s">
        <v>24</v>
      </c>
      <c r="F27" s="1" t="s">
        <v>25</v>
      </c>
      <c r="G27" s="1" t="s">
        <v>26</v>
      </c>
      <c r="H27" s="3">
        <f t="shared" si="0"/>
        <v>4.7557870370370306E-3</v>
      </c>
    </row>
    <row r="28" spans="1:8" x14ac:dyDescent="0.25">
      <c r="A28" s="1" t="s">
        <v>116</v>
      </c>
      <c r="B28" s="2" t="s">
        <v>117</v>
      </c>
      <c r="C28" s="2" t="s">
        <v>118</v>
      </c>
      <c r="D28" s="1" t="s">
        <v>69</v>
      </c>
      <c r="E28" s="1" t="s">
        <v>41</v>
      </c>
      <c r="F28" s="1" t="s">
        <v>523</v>
      </c>
      <c r="G28" s="1" t="s">
        <v>19</v>
      </c>
      <c r="H28" s="3">
        <f t="shared" si="0"/>
        <v>8.3252314814814803E-3</v>
      </c>
    </row>
    <row r="29" spans="1:8" x14ac:dyDescent="0.25">
      <c r="A29" s="1" t="s">
        <v>119</v>
      </c>
      <c r="B29" s="2" t="s">
        <v>120</v>
      </c>
      <c r="C29" s="2" t="s">
        <v>121</v>
      </c>
      <c r="D29" s="1" t="s">
        <v>122</v>
      </c>
      <c r="E29" s="1" t="s">
        <v>24</v>
      </c>
      <c r="F29" s="1" t="s">
        <v>524</v>
      </c>
      <c r="G29" s="1" t="s">
        <v>26</v>
      </c>
      <c r="H29" s="3">
        <f t="shared" si="0"/>
        <v>9.6238425925925918E-3</v>
      </c>
    </row>
    <row r="30" spans="1:8" x14ac:dyDescent="0.25">
      <c r="A30" s="1" t="s">
        <v>124</v>
      </c>
      <c r="B30" s="2" t="s">
        <v>125</v>
      </c>
      <c r="C30" s="2" t="s">
        <v>126</v>
      </c>
      <c r="D30" s="1" t="s">
        <v>16</v>
      </c>
      <c r="E30" s="1" t="s">
        <v>17</v>
      </c>
      <c r="F30" s="1" t="s">
        <v>524</v>
      </c>
      <c r="G30" s="1" t="s">
        <v>45</v>
      </c>
      <c r="H30" s="3">
        <f t="shared" si="0"/>
        <v>3.7738425925925925E-2</v>
      </c>
    </row>
    <row r="31" spans="1:8" x14ac:dyDescent="0.25">
      <c r="A31" s="1" t="s">
        <v>128</v>
      </c>
      <c r="B31" s="2" t="s">
        <v>129</v>
      </c>
      <c r="C31" s="2" t="s">
        <v>130</v>
      </c>
      <c r="D31" s="1" t="s">
        <v>23</v>
      </c>
      <c r="E31" s="1" t="s">
        <v>30</v>
      </c>
      <c r="F31" s="1" t="s">
        <v>25</v>
      </c>
      <c r="G31" s="1" t="s">
        <v>26</v>
      </c>
      <c r="H31" s="3">
        <f t="shared" si="0"/>
        <v>1.2687500000000001E-2</v>
      </c>
    </row>
    <row r="32" spans="1:8" x14ac:dyDescent="0.25">
      <c r="A32" s="1" t="s">
        <v>131</v>
      </c>
      <c r="B32" s="2" t="s">
        <v>132</v>
      </c>
      <c r="C32" s="2" t="s">
        <v>133</v>
      </c>
      <c r="D32" s="1" t="s">
        <v>69</v>
      </c>
      <c r="E32" s="1" t="s">
        <v>30</v>
      </c>
      <c r="F32" s="1" t="s">
        <v>523</v>
      </c>
      <c r="G32" s="1" t="s">
        <v>45</v>
      </c>
      <c r="H32" s="3">
        <f t="shared" si="0"/>
        <v>1.4659722222222225E-2</v>
      </c>
    </row>
    <row r="33" spans="1:8" x14ac:dyDescent="0.25">
      <c r="A33" s="1" t="s">
        <v>134</v>
      </c>
      <c r="B33" s="2" t="s">
        <v>135</v>
      </c>
      <c r="C33" s="2" t="s">
        <v>136</v>
      </c>
      <c r="D33" s="1" t="s">
        <v>23</v>
      </c>
      <c r="E33" s="1" t="s">
        <v>24</v>
      </c>
      <c r="F33" s="1" t="s">
        <v>25</v>
      </c>
      <c r="G33" s="1" t="s">
        <v>19</v>
      </c>
      <c r="H33" s="3">
        <f t="shared" si="0"/>
        <v>1.6417824074074071E-2</v>
      </c>
    </row>
    <row r="34" spans="1:8" x14ac:dyDescent="0.25">
      <c r="A34" s="1" t="s">
        <v>137</v>
      </c>
      <c r="B34" s="2" t="s">
        <v>138</v>
      </c>
      <c r="C34" s="2" t="s">
        <v>139</v>
      </c>
      <c r="D34" s="1" t="s">
        <v>69</v>
      </c>
      <c r="E34" s="1" t="s">
        <v>55</v>
      </c>
      <c r="F34" s="1" t="s">
        <v>523</v>
      </c>
      <c r="G34" s="1" t="s">
        <v>45</v>
      </c>
      <c r="H34" s="3">
        <f t="shared" si="0"/>
        <v>2.082291666666667E-2</v>
      </c>
    </row>
    <row r="35" spans="1:8" x14ac:dyDescent="0.25">
      <c r="A35" s="1" t="s">
        <v>140</v>
      </c>
      <c r="B35" s="2" t="s">
        <v>141</v>
      </c>
      <c r="C35" s="2" t="s">
        <v>142</v>
      </c>
      <c r="D35" s="1" t="s">
        <v>122</v>
      </c>
      <c r="E35" s="1" t="s">
        <v>50</v>
      </c>
      <c r="F35" s="1" t="s">
        <v>524</v>
      </c>
      <c r="G35" s="1" t="s">
        <v>45</v>
      </c>
      <c r="H35" s="3">
        <f t="shared" si="0"/>
        <v>2.9571759259259256E-3</v>
      </c>
    </row>
    <row r="36" spans="1:8" x14ac:dyDescent="0.25">
      <c r="A36" s="1" t="s">
        <v>144</v>
      </c>
      <c r="B36" s="2" t="s">
        <v>145</v>
      </c>
      <c r="C36" s="2" t="s">
        <v>146</v>
      </c>
      <c r="D36" s="1" t="s">
        <v>23</v>
      </c>
      <c r="E36" s="1" t="s">
        <v>41</v>
      </c>
      <c r="F36" s="1" t="s">
        <v>25</v>
      </c>
      <c r="G36" s="1" t="s">
        <v>45</v>
      </c>
      <c r="H36" s="3">
        <f t="shared" si="0"/>
        <v>2.5840277777777781E-2</v>
      </c>
    </row>
    <row r="37" spans="1:8" x14ac:dyDescent="0.25">
      <c r="A37" s="1" t="s">
        <v>147</v>
      </c>
      <c r="B37" s="2" t="s">
        <v>148</v>
      </c>
      <c r="C37" s="2" t="s">
        <v>149</v>
      </c>
      <c r="D37" s="1" t="s">
        <v>35</v>
      </c>
      <c r="E37" s="1" t="s">
        <v>24</v>
      </c>
      <c r="F37" s="1" t="s">
        <v>37</v>
      </c>
      <c r="G37" s="1" t="s">
        <v>45</v>
      </c>
      <c r="H37" s="3">
        <f t="shared" si="0"/>
        <v>7.8217592592592609E-3</v>
      </c>
    </row>
    <row r="38" spans="1:8" x14ac:dyDescent="0.25">
      <c r="A38" s="1" t="s">
        <v>150</v>
      </c>
      <c r="B38" s="2" t="s">
        <v>151</v>
      </c>
      <c r="C38" s="2" t="s">
        <v>152</v>
      </c>
      <c r="D38" s="1" t="s">
        <v>23</v>
      </c>
      <c r="E38" s="1" t="s">
        <v>70</v>
      </c>
      <c r="F38" s="1" t="s">
        <v>25</v>
      </c>
      <c r="G38" s="1" t="s">
        <v>45</v>
      </c>
      <c r="H38" s="3">
        <f t="shared" si="0"/>
        <v>1.9175925925925923E-2</v>
      </c>
    </row>
    <row r="39" spans="1:8" x14ac:dyDescent="0.25">
      <c r="A39" s="1" t="s">
        <v>153</v>
      </c>
      <c r="B39" s="2" t="s">
        <v>154</v>
      </c>
      <c r="C39" s="2" t="s">
        <v>155</v>
      </c>
      <c r="D39" s="1" t="s">
        <v>16</v>
      </c>
      <c r="E39" s="1" t="s">
        <v>65</v>
      </c>
      <c r="F39" s="1" t="s">
        <v>524</v>
      </c>
      <c r="G39" s="1" t="s">
        <v>45</v>
      </c>
      <c r="H39" s="3">
        <f t="shared" si="0"/>
        <v>3.4222222222222223E-2</v>
      </c>
    </row>
    <row r="40" spans="1:8" x14ac:dyDescent="0.25">
      <c r="A40" s="1" t="s">
        <v>157</v>
      </c>
      <c r="B40" s="2" t="s">
        <v>158</v>
      </c>
      <c r="C40" s="2" t="s">
        <v>159</v>
      </c>
      <c r="D40" s="1" t="s">
        <v>23</v>
      </c>
      <c r="E40" s="1" t="s">
        <v>50</v>
      </c>
      <c r="F40" s="1" t="s">
        <v>25</v>
      </c>
      <c r="G40" s="1" t="s">
        <v>26</v>
      </c>
      <c r="H40" s="3">
        <f t="shared" si="0"/>
        <v>1.5880787037037037E-2</v>
      </c>
    </row>
    <row r="41" spans="1:8" x14ac:dyDescent="0.25">
      <c r="A41" s="1" t="s">
        <v>160</v>
      </c>
      <c r="B41" s="2" t="s">
        <v>161</v>
      </c>
      <c r="C41" s="2" t="s">
        <v>162</v>
      </c>
      <c r="D41" s="1" t="s">
        <v>49</v>
      </c>
      <c r="E41" s="1" t="s">
        <v>55</v>
      </c>
      <c r="F41" s="1" t="s">
        <v>51</v>
      </c>
      <c r="G41" s="1" t="s">
        <v>26</v>
      </c>
      <c r="H41" s="3">
        <f t="shared" si="0"/>
        <v>9.8541666666666708E-3</v>
      </c>
    </row>
    <row r="42" spans="1:8" x14ac:dyDescent="0.25">
      <c r="A42" s="1" t="s">
        <v>163</v>
      </c>
      <c r="B42" s="2" t="s">
        <v>164</v>
      </c>
      <c r="C42" s="2" t="s">
        <v>165</v>
      </c>
      <c r="D42" s="1" t="s">
        <v>69</v>
      </c>
      <c r="E42" s="1" t="s">
        <v>17</v>
      </c>
      <c r="F42" s="1" t="s">
        <v>523</v>
      </c>
      <c r="G42" s="1" t="s">
        <v>26</v>
      </c>
      <c r="H42" s="3">
        <f t="shared" si="0"/>
        <v>6.8113425925925911E-3</v>
      </c>
    </row>
    <row r="43" spans="1:8" x14ac:dyDescent="0.25">
      <c r="A43" s="1" t="s">
        <v>166</v>
      </c>
      <c r="B43" s="2" t="s">
        <v>167</v>
      </c>
      <c r="C43" s="2" t="s">
        <v>168</v>
      </c>
      <c r="D43" s="1" t="s">
        <v>35</v>
      </c>
      <c r="E43" s="1" t="s">
        <v>24</v>
      </c>
      <c r="F43" s="1" t="s">
        <v>37</v>
      </c>
      <c r="G43" s="1" t="s">
        <v>45</v>
      </c>
      <c r="H43" s="3">
        <f t="shared" si="0"/>
        <v>2.6712962962962966E-3</v>
      </c>
    </row>
    <row r="44" spans="1:8" x14ac:dyDescent="0.25">
      <c r="A44" s="1" t="s">
        <v>169</v>
      </c>
      <c r="B44" s="2" t="s">
        <v>170</v>
      </c>
      <c r="C44" s="2" t="s">
        <v>171</v>
      </c>
      <c r="D44" s="1" t="s">
        <v>122</v>
      </c>
      <c r="E44" s="1" t="s">
        <v>83</v>
      </c>
      <c r="F44" s="1" t="s">
        <v>524</v>
      </c>
      <c r="G44" s="1" t="s">
        <v>45</v>
      </c>
      <c r="H44" s="3">
        <f t="shared" si="0"/>
        <v>2.9133101851851854E-2</v>
      </c>
    </row>
    <row r="45" spans="1:8" x14ac:dyDescent="0.25">
      <c r="A45" s="1" t="s">
        <v>173</v>
      </c>
      <c r="B45" s="2" t="s">
        <v>174</v>
      </c>
      <c r="C45" s="2" t="s">
        <v>175</v>
      </c>
      <c r="D45" s="1" t="s">
        <v>23</v>
      </c>
      <c r="E45" s="1" t="s">
        <v>55</v>
      </c>
      <c r="F45" s="1" t="s">
        <v>25</v>
      </c>
      <c r="G45" s="1" t="s">
        <v>176</v>
      </c>
      <c r="H45" s="3">
        <f t="shared" si="0"/>
        <v>1.9309027777777783E-2</v>
      </c>
    </row>
    <row r="46" spans="1:8" x14ac:dyDescent="0.25">
      <c r="A46" s="1" t="s">
        <v>177</v>
      </c>
      <c r="B46" s="2" t="s">
        <v>178</v>
      </c>
      <c r="C46" s="2" t="s">
        <v>179</v>
      </c>
      <c r="D46" s="1" t="s">
        <v>35</v>
      </c>
      <c r="E46" s="1" t="s">
        <v>50</v>
      </c>
      <c r="F46" s="1" t="s">
        <v>37</v>
      </c>
      <c r="G46" s="1" t="s">
        <v>19</v>
      </c>
      <c r="H46" s="3">
        <f t="shared" si="0"/>
        <v>5.4537037037037028E-3</v>
      </c>
    </row>
    <row r="47" spans="1:8" x14ac:dyDescent="0.25">
      <c r="A47" s="1" t="s">
        <v>180</v>
      </c>
      <c r="B47" s="2" t="s">
        <v>181</v>
      </c>
      <c r="C47" s="2" t="s">
        <v>182</v>
      </c>
      <c r="D47" s="1" t="s">
        <v>23</v>
      </c>
      <c r="E47" s="1" t="s">
        <v>24</v>
      </c>
      <c r="F47" s="1" t="s">
        <v>25</v>
      </c>
      <c r="G47" s="1" t="s">
        <v>19</v>
      </c>
      <c r="H47" s="3">
        <f t="shared" si="0"/>
        <v>2.5657407407407407E-2</v>
      </c>
    </row>
    <row r="48" spans="1:8" x14ac:dyDescent="0.25">
      <c r="A48" s="1" t="s">
        <v>183</v>
      </c>
      <c r="B48" s="2" t="s">
        <v>184</v>
      </c>
      <c r="C48" s="2" t="s">
        <v>185</v>
      </c>
      <c r="D48" s="1" t="s">
        <v>69</v>
      </c>
      <c r="E48" s="1" t="s">
        <v>41</v>
      </c>
      <c r="F48" s="1" t="s">
        <v>523</v>
      </c>
      <c r="G48" s="1" t="s">
        <v>26</v>
      </c>
      <c r="H48" s="3">
        <f t="shared" si="0"/>
        <v>7.7430555555555239E-4</v>
      </c>
    </row>
    <row r="49" spans="1:8" x14ac:dyDescent="0.25">
      <c r="A49" s="1" t="s">
        <v>186</v>
      </c>
      <c r="B49" s="2" t="s">
        <v>187</v>
      </c>
      <c r="C49" s="2" t="s">
        <v>188</v>
      </c>
      <c r="D49" s="1" t="s">
        <v>49</v>
      </c>
      <c r="E49" s="1" t="s">
        <v>24</v>
      </c>
      <c r="F49" s="1" t="s">
        <v>51</v>
      </c>
      <c r="G49" s="1" t="s">
        <v>45</v>
      </c>
      <c r="H49" s="3">
        <f t="shared" si="0"/>
        <v>2.3365740740740739E-2</v>
      </c>
    </row>
    <row r="50" spans="1:8" x14ac:dyDescent="0.25">
      <c r="A50" s="1" t="s">
        <v>189</v>
      </c>
      <c r="B50" s="2" t="s">
        <v>190</v>
      </c>
      <c r="C50" s="2" t="s">
        <v>191</v>
      </c>
      <c r="D50" s="1" t="s">
        <v>69</v>
      </c>
      <c r="E50" s="1" t="s">
        <v>24</v>
      </c>
      <c r="F50" s="1" t="s">
        <v>523</v>
      </c>
      <c r="G50" s="1" t="s">
        <v>26</v>
      </c>
      <c r="H50" s="3">
        <f t="shared" si="0"/>
        <v>1.8880787037037036E-2</v>
      </c>
    </row>
    <row r="51" spans="1:8" x14ac:dyDescent="0.25">
      <c r="A51" s="1" t="s">
        <v>192</v>
      </c>
      <c r="B51" s="2" t="s">
        <v>193</v>
      </c>
      <c r="C51" s="2" t="s">
        <v>194</v>
      </c>
      <c r="D51" s="1" t="s">
        <v>69</v>
      </c>
      <c r="E51" s="1" t="s">
        <v>24</v>
      </c>
      <c r="F51" s="1" t="s">
        <v>523</v>
      </c>
      <c r="G51" s="1" t="s">
        <v>26</v>
      </c>
      <c r="H51" s="3">
        <f t="shared" si="0"/>
        <v>1.2886574074074075E-2</v>
      </c>
    </row>
    <row r="52" spans="1:8" x14ac:dyDescent="0.25">
      <c r="A52" s="1" t="s">
        <v>195</v>
      </c>
      <c r="B52" s="2" t="s">
        <v>196</v>
      </c>
      <c r="C52" s="2" t="s">
        <v>197</v>
      </c>
      <c r="D52" s="1" t="s">
        <v>16</v>
      </c>
      <c r="E52" s="1" t="s">
        <v>36</v>
      </c>
      <c r="F52" s="1" t="s">
        <v>524</v>
      </c>
      <c r="G52" s="1" t="s">
        <v>45</v>
      </c>
      <c r="H52" s="3">
        <f t="shared" si="0"/>
        <v>8.8900462962962987E-3</v>
      </c>
    </row>
    <row r="53" spans="1:8" x14ac:dyDescent="0.25">
      <c r="A53" s="1" t="s">
        <v>199</v>
      </c>
      <c r="B53" s="2" t="s">
        <v>200</v>
      </c>
      <c r="C53" s="2" t="s">
        <v>201</v>
      </c>
      <c r="D53" s="1" t="s">
        <v>23</v>
      </c>
      <c r="E53" s="1" t="s">
        <v>24</v>
      </c>
      <c r="F53" s="1" t="s">
        <v>25</v>
      </c>
      <c r="G53" s="1" t="s">
        <v>45</v>
      </c>
      <c r="H53" s="3">
        <f t="shared" si="0"/>
        <v>1.849189814814815E-2</v>
      </c>
    </row>
    <row r="54" spans="1:8" x14ac:dyDescent="0.25">
      <c r="A54" s="1" t="s">
        <v>202</v>
      </c>
      <c r="B54" s="2" t="s">
        <v>203</v>
      </c>
      <c r="C54" s="2" t="s">
        <v>204</v>
      </c>
      <c r="D54" s="1" t="s">
        <v>23</v>
      </c>
      <c r="E54" s="1" t="s">
        <v>36</v>
      </c>
      <c r="F54" s="1" t="s">
        <v>25</v>
      </c>
      <c r="G54" s="1" t="s">
        <v>26</v>
      </c>
      <c r="H54" s="3">
        <f t="shared" si="0"/>
        <v>4.1226851851851858E-3</v>
      </c>
    </row>
    <row r="55" spans="1:8" x14ac:dyDescent="0.25">
      <c r="A55" s="1" t="s">
        <v>205</v>
      </c>
      <c r="B55" s="2" t="s">
        <v>206</v>
      </c>
      <c r="C55" s="2" t="s">
        <v>207</v>
      </c>
      <c r="D55" s="1" t="s">
        <v>23</v>
      </c>
      <c r="E55" s="1" t="s">
        <v>24</v>
      </c>
      <c r="F55" s="1" t="s">
        <v>25</v>
      </c>
      <c r="G55" s="1" t="s">
        <v>26</v>
      </c>
      <c r="H55" s="3">
        <f t="shared" si="0"/>
        <v>8.2210648148148199E-3</v>
      </c>
    </row>
    <row r="56" spans="1:8" x14ac:dyDescent="0.25">
      <c r="A56" s="1" t="s">
        <v>208</v>
      </c>
      <c r="B56" s="2" t="s">
        <v>209</v>
      </c>
      <c r="C56" s="2" t="s">
        <v>210</v>
      </c>
      <c r="D56" s="1" t="s">
        <v>69</v>
      </c>
      <c r="E56" s="1" t="s">
        <v>30</v>
      </c>
      <c r="F56" s="1" t="s">
        <v>523</v>
      </c>
      <c r="G56" s="1" t="s">
        <v>19</v>
      </c>
      <c r="H56" s="3">
        <f t="shared" si="0"/>
        <v>2.1226851851851854E-3</v>
      </c>
    </row>
    <row r="57" spans="1:8" x14ac:dyDescent="0.25">
      <c r="A57" s="1" t="s">
        <v>211</v>
      </c>
      <c r="B57" s="2" t="s">
        <v>212</v>
      </c>
      <c r="C57" s="2" t="s">
        <v>213</v>
      </c>
      <c r="D57" s="1" t="s">
        <v>49</v>
      </c>
      <c r="E57" s="1" t="s">
        <v>24</v>
      </c>
      <c r="F57" s="1" t="s">
        <v>51</v>
      </c>
      <c r="G57" s="1" t="s">
        <v>26</v>
      </c>
      <c r="H57" s="3">
        <f t="shared" si="0"/>
        <v>2.8471064814814814E-2</v>
      </c>
    </row>
    <row r="58" spans="1:8" x14ac:dyDescent="0.25">
      <c r="A58" s="1" t="s">
        <v>214</v>
      </c>
      <c r="B58" s="2" t="s">
        <v>215</v>
      </c>
      <c r="C58" s="2" t="s">
        <v>216</v>
      </c>
      <c r="D58" s="1" t="s">
        <v>16</v>
      </c>
      <c r="E58" s="1" t="s">
        <v>36</v>
      </c>
      <c r="F58" s="1" t="s">
        <v>524</v>
      </c>
      <c r="G58" s="1" t="s">
        <v>26</v>
      </c>
      <c r="H58" s="3">
        <f t="shared" si="0"/>
        <v>1.642592592592592E-2</v>
      </c>
    </row>
    <row r="59" spans="1:8" x14ac:dyDescent="0.25">
      <c r="A59" s="1" t="s">
        <v>218</v>
      </c>
      <c r="B59" s="2" t="s">
        <v>219</v>
      </c>
      <c r="C59" s="2" t="s">
        <v>220</v>
      </c>
      <c r="D59" s="1" t="s">
        <v>90</v>
      </c>
      <c r="E59" s="1" t="s">
        <v>55</v>
      </c>
      <c r="F59" s="1" t="s">
        <v>524</v>
      </c>
      <c r="G59" s="1" t="s">
        <v>45</v>
      </c>
      <c r="H59" s="3">
        <f t="shared" si="0"/>
        <v>1.3460648148148149E-2</v>
      </c>
    </row>
    <row r="60" spans="1:8" x14ac:dyDescent="0.25">
      <c r="A60" s="1" t="s">
        <v>222</v>
      </c>
      <c r="B60" s="2" t="s">
        <v>223</v>
      </c>
      <c r="C60" s="2" t="s">
        <v>224</v>
      </c>
      <c r="D60" s="1" t="s">
        <v>16</v>
      </c>
      <c r="E60" s="1" t="s">
        <v>55</v>
      </c>
      <c r="F60" s="1" t="s">
        <v>524</v>
      </c>
      <c r="G60" s="1" t="s">
        <v>26</v>
      </c>
      <c r="H60" s="3">
        <f t="shared" si="0"/>
        <v>1.8214120370370367E-2</v>
      </c>
    </row>
    <row r="61" spans="1:8" x14ac:dyDescent="0.25">
      <c r="A61" s="1" t="s">
        <v>226</v>
      </c>
      <c r="B61" s="2" t="s">
        <v>227</v>
      </c>
      <c r="C61" s="2" t="s">
        <v>228</v>
      </c>
      <c r="D61" s="1" t="s">
        <v>23</v>
      </c>
      <c r="E61" s="1" t="s">
        <v>50</v>
      </c>
      <c r="F61" s="1" t="s">
        <v>25</v>
      </c>
      <c r="G61" s="1" t="s">
        <v>26</v>
      </c>
      <c r="H61" s="3">
        <f t="shared" si="0"/>
        <v>1.3708333333333338E-2</v>
      </c>
    </row>
    <row r="62" spans="1:8" x14ac:dyDescent="0.25">
      <c r="A62" s="1" t="s">
        <v>229</v>
      </c>
      <c r="B62" s="2" t="s">
        <v>230</v>
      </c>
      <c r="C62" s="2" t="s">
        <v>231</v>
      </c>
      <c r="D62" s="1" t="s">
        <v>35</v>
      </c>
      <c r="E62" s="1" t="s">
        <v>36</v>
      </c>
      <c r="F62" s="1" t="s">
        <v>37</v>
      </c>
      <c r="G62" s="1" t="s">
        <v>26</v>
      </c>
      <c r="H62" s="3">
        <f t="shared" si="0"/>
        <v>3.069675925925926E-2</v>
      </c>
    </row>
    <row r="63" spans="1:8" x14ac:dyDescent="0.25">
      <c r="A63" s="1" t="s">
        <v>232</v>
      </c>
      <c r="B63" s="2" t="s">
        <v>233</v>
      </c>
      <c r="C63" s="2" t="s">
        <v>234</v>
      </c>
      <c r="D63" s="1" t="s">
        <v>23</v>
      </c>
      <c r="E63" s="1" t="s">
        <v>17</v>
      </c>
      <c r="F63" s="1" t="s">
        <v>25</v>
      </c>
      <c r="G63" s="1" t="s">
        <v>26</v>
      </c>
      <c r="H63" s="3">
        <f t="shared" si="0"/>
        <v>1.1216435185185183E-2</v>
      </c>
    </row>
    <row r="64" spans="1:8" x14ac:dyDescent="0.25">
      <c r="A64" s="1" t="s">
        <v>235</v>
      </c>
      <c r="B64" s="2" t="s">
        <v>236</v>
      </c>
      <c r="C64" s="2" t="s">
        <v>237</v>
      </c>
      <c r="D64" s="1" t="s">
        <v>23</v>
      </c>
      <c r="E64" s="1" t="s">
        <v>65</v>
      </c>
      <c r="F64" s="1" t="s">
        <v>25</v>
      </c>
      <c r="G64" s="1" t="s">
        <v>26</v>
      </c>
      <c r="H64" s="3">
        <f t="shared" si="0"/>
        <v>1.2472222222222221E-2</v>
      </c>
    </row>
    <row r="65" spans="1:8" x14ac:dyDescent="0.25">
      <c r="A65" s="1" t="s">
        <v>238</v>
      </c>
      <c r="B65" s="2" t="s">
        <v>239</v>
      </c>
      <c r="C65" s="2" t="s">
        <v>240</v>
      </c>
      <c r="D65" s="1" t="s">
        <v>49</v>
      </c>
      <c r="E65" s="1" t="s">
        <v>65</v>
      </c>
      <c r="F65" s="1" t="s">
        <v>51</v>
      </c>
      <c r="G65" s="1" t="s">
        <v>19</v>
      </c>
      <c r="H65" s="3">
        <f t="shared" si="0"/>
        <v>1.0682870370370412E-3</v>
      </c>
    </row>
    <row r="66" spans="1:8" x14ac:dyDescent="0.25">
      <c r="A66" s="1" t="s">
        <v>241</v>
      </c>
      <c r="B66" s="2" t="s">
        <v>242</v>
      </c>
      <c r="C66" s="2" t="s">
        <v>243</v>
      </c>
      <c r="D66" s="1" t="s">
        <v>49</v>
      </c>
      <c r="E66" s="1" t="s">
        <v>41</v>
      </c>
      <c r="F66" s="1" t="s">
        <v>51</v>
      </c>
      <c r="G66" s="1" t="s">
        <v>26</v>
      </c>
      <c r="H66" s="3">
        <f t="shared" ref="H66:H129" si="1">ABS(C66-B66)</f>
        <v>3.9083333333333331E-2</v>
      </c>
    </row>
    <row r="67" spans="1:8" x14ac:dyDescent="0.25">
      <c r="A67" s="1" t="s">
        <v>244</v>
      </c>
      <c r="B67" s="2" t="s">
        <v>245</v>
      </c>
      <c r="C67" s="2" t="s">
        <v>246</v>
      </c>
      <c r="D67" s="1" t="s">
        <v>69</v>
      </c>
      <c r="E67" s="1" t="s">
        <v>17</v>
      </c>
      <c r="F67" s="1" t="s">
        <v>523</v>
      </c>
      <c r="G67" s="1" t="s">
        <v>26</v>
      </c>
      <c r="H67" s="3">
        <f t="shared" si="1"/>
        <v>3.0795138888888889E-2</v>
      </c>
    </row>
    <row r="68" spans="1:8" x14ac:dyDescent="0.25">
      <c r="A68" s="1" t="s">
        <v>247</v>
      </c>
      <c r="B68" s="2" t="s">
        <v>248</v>
      </c>
      <c r="C68" s="2" t="s">
        <v>249</v>
      </c>
      <c r="D68" s="1" t="s">
        <v>35</v>
      </c>
      <c r="E68" s="1" t="s">
        <v>30</v>
      </c>
      <c r="F68" s="1" t="s">
        <v>37</v>
      </c>
      <c r="G68" s="1" t="s">
        <v>45</v>
      </c>
      <c r="H68" s="3">
        <f t="shared" si="1"/>
        <v>1.1450231481481481E-2</v>
      </c>
    </row>
    <row r="69" spans="1:8" x14ac:dyDescent="0.25">
      <c r="A69" s="1" t="s">
        <v>250</v>
      </c>
      <c r="B69" s="2" t="s">
        <v>251</v>
      </c>
      <c r="C69" s="2" t="s">
        <v>252</v>
      </c>
      <c r="D69" s="1" t="s">
        <v>69</v>
      </c>
      <c r="E69" s="1" t="s">
        <v>65</v>
      </c>
      <c r="F69" s="1" t="s">
        <v>523</v>
      </c>
      <c r="G69" s="1" t="s">
        <v>26</v>
      </c>
      <c r="H69" s="3">
        <f t="shared" si="1"/>
        <v>1.0631944444444446E-2</v>
      </c>
    </row>
    <row r="70" spans="1:8" x14ac:dyDescent="0.25">
      <c r="A70" s="1" t="s">
        <v>253</v>
      </c>
      <c r="B70" s="2" t="s">
        <v>254</v>
      </c>
      <c r="C70" s="2" t="s">
        <v>255</v>
      </c>
      <c r="D70" s="1" t="s">
        <v>23</v>
      </c>
      <c r="E70" s="1" t="s">
        <v>50</v>
      </c>
      <c r="F70" s="1" t="s">
        <v>25</v>
      </c>
      <c r="G70" s="1" t="s">
        <v>45</v>
      </c>
      <c r="H70" s="3">
        <f t="shared" si="1"/>
        <v>2.0718750000000008E-2</v>
      </c>
    </row>
    <row r="71" spans="1:8" x14ac:dyDescent="0.25">
      <c r="A71" s="1" t="s">
        <v>256</v>
      </c>
      <c r="B71" s="2" t="s">
        <v>257</v>
      </c>
      <c r="C71" s="2" t="s">
        <v>258</v>
      </c>
      <c r="D71" s="1" t="s">
        <v>23</v>
      </c>
      <c r="E71" s="1" t="s">
        <v>41</v>
      </c>
      <c r="F71" s="1" t="s">
        <v>25</v>
      </c>
      <c r="G71" s="1" t="s">
        <v>26</v>
      </c>
      <c r="H71" s="3">
        <f t="shared" si="1"/>
        <v>4.5393518518518569E-3</v>
      </c>
    </row>
    <row r="72" spans="1:8" x14ac:dyDescent="0.25">
      <c r="A72" s="1" t="s">
        <v>259</v>
      </c>
      <c r="B72" s="2" t="s">
        <v>260</v>
      </c>
      <c r="C72" s="2" t="s">
        <v>261</v>
      </c>
      <c r="D72" s="1" t="s">
        <v>35</v>
      </c>
      <c r="E72" s="1" t="s">
        <v>65</v>
      </c>
      <c r="F72" s="1" t="s">
        <v>37</v>
      </c>
      <c r="G72" s="1" t="s">
        <v>176</v>
      </c>
      <c r="H72" s="3">
        <f t="shared" si="1"/>
        <v>3.2605324074074071E-2</v>
      </c>
    </row>
    <row r="73" spans="1:8" x14ac:dyDescent="0.25">
      <c r="A73" s="1" t="s">
        <v>262</v>
      </c>
      <c r="B73" s="2" t="s">
        <v>263</v>
      </c>
      <c r="C73" s="2" t="s">
        <v>264</v>
      </c>
      <c r="D73" s="1" t="s">
        <v>23</v>
      </c>
      <c r="E73" s="1" t="s">
        <v>30</v>
      </c>
      <c r="F73" s="1" t="s">
        <v>25</v>
      </c>
      <c r="G73" s="1" t="s">
        <v>26</v>
      </c>
      <c r="H73" s="3">
        <f t="shared" si="1"/>
        <v>2.0729166666666674E-3</v>
      </c>
    </row>
    <row r="74" spans="1:8" x14ac:dyDescent="0.25">
      <c r="A74" s="1" t="s">
        <v>265</v>
      </c>
      <c r="B74" s="2" t="s">
        <v>266</v>
      </c>
      <c r="C74" s="2" t="s">
        <v>267</v>
      </c>
      <c r="D74" s="1" t="s">
        <v>69</v>
      </c>
      <c r="E74" s="1" t="s">
        <v>65</v>
      </c>
      <c r="F74" s="1" t="s">
        <v>523</v>
      </c>
      <c r="G74" s="1" t="s">
        <v>26</v>
      </c>
      <c r="H74" s="3">
        <f t="shared" si="1"/>
        <v>6.8622685185185175E-3</v>
      </c>
    </row>
    <row r="75" spans="1:8" x14ac:dyDescent="0.25">
      <c r="A75" s="1" t="s">
        <v>268</v>
      </c>
      <c r="B75" s="2" t="s">
        <v>269</v>
      </c>
      <c r="C75" s="2" t="s">
        <v>270</v>
      </c>
      <c r="D75" s="1" t="s">
        <v>16</v>
      </c>
      <c r="E75" s="1" t="s">
        <v>70</v>
      </c>
      <c r="F75" s="1" t="s">
        <v>524</v>
      </c>
      <c r="G75" s="1" t="s">
        <v>19</v>
      </c>
      <c r="H75" s="3">
        <f t="shared" si="1"/>
        <v>4.5752314814814787E-3</v>
      </c>
    </row>
    <row r="76" spans="1:8" x14ac:dyDescent="0.25">
      <c r="A76" s="1" t="s">
        <v>272</v>
      </c>
      <c r="B76" s="2" t="s">
        <v>273</v>
      </c>
      <c r="C76" s="2" t="s">
        <v>274</v>
      </c>
      <c r="D76" s="1" t="s">
        <v>90</v>
      </c>
      <c r="E76" s="1" t="s">
        <v>24</v>
      </c>
      <c r="F76" s="1" t="s">
        <v>524</v>
      </c>
      <c r="G76" s="1" t="s">
        <v>45</v>
      </c>
      <c r="H76" s="3">
        <f t="shared" si="1"/>
        <v>1.2719907407407402E-3</v>
      </c>
    </row>
    <row r="77" spans="1:8" x14ac:dyDescent="0.25">
      <c r="A77" s="1" t="s">
        <v>276</v>
      </c>
      <c r="B77" s="2" t="s">
        <v>277</v>
      </c>
      <c r="C77" s="2" t="s">
        <v>278</v>
      </c>
      <c r="D77" s="1" t="s">
        <v>16</v>
      </c>
      <c r="E77" s="1" t="s">
        <v>65</v>
      </c>
      <c r="F77" s="1" t="s">
        <v>524</v>
      </c>
      <c r="G77" s="1" t="s">
        <v>19</v>
      </c>
      <c r="H77" s="3">
        <f t="shared" si="1"/>
        <v>5.0497685185185194E-3</v>
      </c>
    </row>
    <row r="78" spans="1:8" x14ac:dyDescent="0.25">
      <c r="A78" s="1" t="s">
        <v>280</v>
      </c>
      <c r="B78" s="2" t="s">
        <v>281</v>
      </c>
      <c r="C78" s="2" t="s">
        <v>282</v>
      </c>
      <c r="D78" s="1" t="s">
        <v>23</v>
      </c>
      <c r="E78" s="1" t="s">
        <v>24</v>
      </c>
      <c r="F78" s="1" t="s">
        <v>25</v>
      </c>
      <c r="G78" s="1" t="s">
        <v>19</v>
      </c>
      <c r="H78" s="3">
        <f t="shared" si="1"/>
        <v>1.4017361111111112E-2</v>
      </c>
    </row>
    <row r="79" spans="1:8" x14ac:dyDescent="0.25">
      <c r="A79" s="1" t="s">
        <v>283</v>
      </c>
      <c r="B79" s="2" t="s">
        <v>284</v>
      </c>
      <c r="C79" s="2" t="s">
        <v>285</v>
      </c>
      <c r="D79" s="1" t="s">
        <v>90</v>
      </c>
      <c r="E79" s="1" t="s">
        <v>50</v>
      </c>
      <c r="F79" s="1" t="s">
        <v>524</v>
      </c>
      <c r="G79" s="1" t="s">
        <v>19</v>
      </c>
      <c r="H79" s="3">
        <f t="shared" si="1"/>
        <v>1.6180555555555566E-3</v>
      </c>
    </row>
    <row r="80" spans="1:8" x14ac:dyDescent="0.25">
      <c r="A80" s="1" t="s">
        <v>287</v>
      </c>
      <c r="B80" s="2" t="s">
        <v>288</v>
      </c>
      <c r="C80" s="2" t="s">
        <v>289</v>
      </c>
      <c r="D80" s="1" t="s">
        <v>23</v>
      </c>
      <c r="E80" s="1" t="s">
        <v>24</v>
      </c>
      <c r="F80" s="1" t="s">
        <v>25</v>
      </c>
      <c r="G80" s="1" t="s">
        <v>45</v>
      </c>
      <c r="H80" s="3">
        <f t="shared" si="1"/>
        <v>2.0381944444444446E-2</v>
      </c>
    </row>
    <row r="81" spans="1:8" x14ac:dyDescent="0.25">
      <c r="A81" s="1" t="s">
        <v>290</v>
      </c>
      <c r="B81" s="2" t="s">
        <v>291</v>
      </c>
      <c r="C81" s="2" t="s">
        <v>292</v>
      </c>
      <c r="D81" s="1" t="s">
        <v>69</v>
      </c>
      <c r="E81" s="1" t="s">
        <v>24</v>
      </c>
      <c r="F81" s="1" t="s">
        <v>523</v>
      </c>
      <c r="G81" s="1" t="s">
        <v>45</v>
      </c>
      <c r="H81" s="3">
        <f t="shared" si="1"/>
        <v>3.483564814814815E-2</v>
      </c>
    </row>
    <row r="82" spans="1:8" x14ac:dyDescent="0.25">
      <c r="A82" s="1" t="s">
        <v>293</v>
      </c>
      <c r="B82" s="2" t="s">
        <v>294</v>
      </c>
      <c r="C82" s="2" t="s">
        <v>295</v>
      </c>
      <c r="D82" s="1" t="s">
        <v>23</v>
      </c>
      <c r="E82" s="1" t="s">
        <v>55</v>
      </c>
      <c r="F82" s="1" t="s">
        <v>25</v>
      </c>
      <c r="G82" s="1" t="s">
        <v>45</v>
      </c>
      <c r="H82" s="3">
        <f t="shared" si="1"/>
        <v>7.597222222222217E-3</v>
      </c>
    </row>
    <row r="83" spans="1:8" x14ac:dyDescent="0.25">
      <c r="A83" s="1" t="s">
        <v>296</v>
      </c>
      <c r="B83" s="2" t="s">
        <v>297</v>
      </c>
      <c r="C83" s="2" t="s">
        <v>298</v>
      </c>
      <c r="D83" s="1" t="s">
        <v>49</v>
      </c>
      <c r="E83" s="1" t="s">
        <v>36</v>
      </c>
      <c r="F83" s="1" t="s">
        <v>51</v>
      </c>
      <c r="G83" s="1" t="s">
        <v>45</v>
      </c>
      <c r="H83" s="3">
        <f t="shared" si="1"/>
        <v>3.4806712962962963E-2</v>
      </c>
    </row>
    <row r="84" spans="1:8" x14ac:dyDescent="0.25">
      <c r="A84" s="1" t="s">
        <v>299</v>
      </c>
      <c r="B84" s="2" t="s">
        <v>300</v>
      </c>
      <c r="C84" s="2" t="s">
        <v>301</v>
      </c>
      <c r="D84" s="1" t="s">
        <v>23</v>
      </c>
      <c r="E84" s="1" t="s">
        <v>24</v>
      </c>
      <c r="F84" s="1" t="s">
        <v>25</v>
      </c>
      <c r="G84" s="1" t="s">
        <v>26</v>
      </c>
      <c r="H84" s="3">
        <f t="shared" si="1"/>
        <v>2.6678240740740759E-3</v>
      </c>
    </row>
    <row r="85" spans="1:8" x14ac:dyDescent="0.25">
      <c r="A85" s="1" t="s">
        <v>302</v>
      </c>
      <c r="B85" s="2" t="s">
        <v>303</v>
      </c>
      <c r="C85" s="2" t="s">
        <v>304</v>
      </c>
      <c r="D85" s="1" t="s">
        <v>122</v>
      </c>
      <c r="E85" s="1" t="s">
        <v>41</v>
      </c>
      <c r="F85" s="1" t="s">
        <v>524</v>
      </c>
      <c r="G85" s="1" t="s">
        <v>45</v>
      </c>
      <c r="H85" s="3">
        <f t="shared" si="1"/>
        <v>1.593171296296296E-2</v>
      </c>
    </row>
    <row r="86" spans="1:8" x14ac:dyDescent="0.25">
      <c r="A86" s="1" t="s">
        <v>306</v>
      </c>
      <c r="B86" s="2" t="s">
        <v>307</v>
      </c>
      <c r="C86" s="2" t="s">
        <v>308</v>
      </c>
      <c r="D86" s="1" t="s">
        <v>35</v>
      </c>
      <c r="E86" s="1" t="s">
        <v>83</v>
      </c>
      <c r="F86" s="1" t="s">
        <v>37</v>
      </c>
      <c r="G86" s="1" t="s">
        <v>45</v>
      </c>
      <c r="H86" s="3">
        <f t="shared" si="1"/>
        <v>8.0925925925925922E-3</v>
      </c>
    </row>
    <row r="87" spans="1:8" x14ac:dyDescent="0.25">
      <c r="A87" s="1" t="s">
        <v>309</v>
      </c>
      <c r="B87" s="2" t="s">
        <v>310</v>
      </c>
      <c r="C87" s="2" t="s">
        <v>311</v>
      </c>
      <c r="D87" s="1" t="s">
        <v>49</v>
      </c>
      <c r="E87" s="1" t="s">
        <v>50</v>
      </c>
      <c r="F87" s="1" t="s">
        <v>51</v>
      </c>
      <c r="G87" s="1" t="s">
        <v>19</v>
      </c>
      <c r="H87" s="3">
        <f t="shared" si="1"/>
        <v>1.0687499999999999E-2</v>
      </c>
    </row>
    <row r="88" spans="1:8" x14ac:dyDescent="0.25">
      <c r="A88" s="1" t="s">
        <v>312</v>
      </c>
      <c r="B88" s="2" t="s">
        <v>313</v>
      </c>
      <c r="C88" s="2" t="s">
        <v>314</v>
      </c>
      <c r="D88" s="1" t="s">
        <v>23</v>
      </c>
      <c r="E88" s="1" t="s">
        <v>65</v>
      </c>
      <c r="F88" s="1" t="s">
        <v>25</v>
      </c>
      <c r="G88" s="1" t="s">
        <v>26</v>
      </c>
      <c r="H88" s="3">
        <f t="shared" si="1"/>
        <v>1.2862268518518519E-2</v>
      </c>
    </row>
    <row r="89" spans="1:8" x14ac:dyDescent="0.25">
      <c r="A89" s="1" t="s">
        <v>315</v>
      </c>
      <c r="B89" s="2" t="s">
        <v>316</v>
      </c>
      <c r="C89" s="2" t="s">
        <v>317</v>
      </c>
      <c r="D89" s="1" t="s">
        <v>35</v>
      </c>
      <c r="E89" s="1" t="s">
        <v>30</v>
      </c>
      <c r="F89" s="1" t="s">
        <v>37</v>
      </c>
      <c r="G89" s="1" t="s">
        <v>26</v>
      </c>
      <c r="H89" s="3">
        <f t="shared" si="1"/>
        <v>4.5486111111111074E-4</v>
      </c>
    </row>
    <row r="90" spans="1:8" x14ac:dyDescent="0.25">
      <c r="A90" s="1" t="s">
        <v>318</v>
      </c>
      <c r="B90" s="2" t="s">
        <v>319</v>
      </c>
      <c r="C90" s="2" t="s">
        <v>320</v>
      </c>
      <c r="D90" s="1" t="s">
        <v>23</v>
      </c>
      <c r="E90" s="1" t="s">
        <v>50</v>
      </c>
      <c r="F90" s="1" t="s">
        <v>25</v>
      </c>
      <c r="G90" s="1" t="s">
        <v>26</v>
      </c>
      <c r="H90" s="3">
        <f t="shared" si="1"/>
        <v>1.8535879629629628E-2</v>
      </c>
    </row>
    <row r="91" spans="1:8" x14ac:dyDescent="0.25">
      <c r="A91" s="1" t="s">
        <v>321</v>
      </c>
      <c r="B91" s="2" t="s">
        <v>322</v>
      </c>
      <c r="C91" s="2" t="s">
        <v>323</v>
      </c>
      <c r="D91" s="1" t="s">
        <v>23</v>
      </c>
      <c r="E91" s="1" t="s">
        <v>50</v>
      </c>
      <c r="F91" s="1" t="s">
        <v>25</v>
      </c>
      <c r="G91" s="1" t="s">
        <v>45</v>
      </c>
      <c r="H91" s="3">
        <f t="shared" si="1"/>
        <v>5.3125000000000221E-4</v>
      </c>
    </row>
    <row r="92" spans="1:8" x14ac:dyDescent="0.25">
      <c r="A92" s="1" t="s">
        <v>324</v>
      </c>
      <c r="B92" s="2" t="s">
        <v>325</v>
      </c>
      <c r="C92" s="2" t="s">
        <v>326</v>
      </c>
      <c r="D92" s="1" t="s">
        <v>23</v>
      </c>
      <c r="E92" s="1" t="s">
        <v>17</v>
      </c>
      <c r="F92" s="1" t="s">
        <v>25</v>
      </c>
      <c r="G92" s="1" t="s">
        <v>26</v>
      </c>
      <c r="H92" s="3">
        <f t="shared" si="1"/>
        <v>1.2304398148148148E-2</v>
      </c>
    </row>
    <row r="93" spans="1:8" x14ac:dyDescent="0.25">
      <c r="A93" s="1" t="s">
        <v>327</v>
      </c>
      <c r="B93" s="2" t="s">
        <v>328</v>
      </c>
      <c r="C93" s="2" t="s">
        <v>329</v>
      </c>
      <c r="D93" s="1" t="s">
        <v>23</v>
      </c>
      <c r="E93" s="1" t="s">
        <v>50</v>
      </c>
      <c r="F93" s="1" t="s">
        <v>25</v>
      </c>
      <c r="G93" s="1" t="s">
        <v>45</v>
      </c>
      <c r="H93" s="3">
        <f t="shared" si="1"/>
        <v>1.9244212962962963E-2</v>
      </c>
    </row>
    <row r="94" spans="1:8" x14ac:dyDescent="0.25">
      <c r="A94" s="1" t="s">
        <v>330</v>
      </c>
      <c r="B94" s="2" t="s">
        <v>331</v>
      </c>
      <c r="C94" s="2" t="s">
        <v>332</v>
      </c>
      <c r="D94" s="1" t="s">
        <v>69</v>
      </c>
      <c r="E94" s="1" t="s">
        <v>36</v>
      </c>
      <c r="F94" s="1" t="s">
        <v>523</v>
      </c>
      <c r="G94" s="1" t="s">
        <v>26</v>
      </c>
      <c r="H94" s="3">
        <f t="shared" si="1"/>
        <v>1.629166666666667E-2</v>
      </c>
    </row>
    <row r="95" spans="1:8" x14ac:dyDescent="0.25">
      <c r="A95" s="1" t="s">
        <v>333</v>
      </c>
      <c r="B95" s="2" t="s">
        <v>334</v>
      </c>
      <c r="C95" s="2" t="s">
        <v>335</v>
      </c>
      <c r="D95" s="1" t="s">
        <v>16</v>
      </c>
      <c r="E95" s="1" t="s">
        <v>36</v>
      </c>
      <c r="F95" s="1" t="s">
        <v>524</v>
      </c>
      <c r="G95" s="1" t="s">
        <v>45</v>
      </c>
      <c r="H95" s="3">
        <f t="shared" si="1"/>
        <v>1.3096064814814814E-2</v>
      </c>
    </row>
    <row r="96" spans="1:8" x14ac:dyDescent="0.25">
      <c r="A96" s="1" t="s">
        <v>337</v>
      </c>
      <c r="B96" s="2" t="s">
        <v>338</v>
      </c>
      <c r="C96" s="2" t="s">
        <v>339</v>
      </c>
      <c r="D96" s="1" t="s">
        <v>49</v>
      </c>
      <c r="E96" s="1" t="s">
        <v>65</v>
      </c>
      <c r="F96" s="1" t="s">
        <v>51</v>
      </c>
      <c r="G96" s="1" t="s">
        <v>45</v>
      </c>
      <c r="H96" s="3">
        <f t="shared" si="1"/>
        <v>2.5385416666666664E-2</v>
      </c>
    </row>
    <row r="97" spans="1:8" x14ac:dyDescent="0.25">
      <c r="A97" s="1" t="s">
        <v>340</v>
      </c>
      <c r="B97" s="2" t="s">
        <v>341</v>
      </c>
      <c r="C97" s="2" t="s">
        <v>342</v>
      </c>
      <c r="D97" s="1" t="s">
        <v>16</v>
      </c>
      <c r="E97" s="1" t="s">
        <v>17</v>
      </c>
      <c r="F97" s="1" t="s">
        <v>524</v>
      </c>
      <c r="G97" s="1" t="s">
        <v>26</v>
      </c>
      <c r="H97" s="3">
        <f t="shared" si="1"/>
        <v>1.2928240740740782E-3</v>
      </c>
    </row>
    <row r="98" spans="1:8" x14ac:dyDescent="0.25">
      <c r="A98" s="1" t="s">
        <v>344</v>
      </c>
      <c r="B98" s="2" t="s">
        <v>345</v>
      </c>
      <c r="C98" s="2" t="s">
        <v>346</v>
      </c>
      <c r="D98" s="1" t="s">
        <v>49</v>
      </c>
      <c r="E98" s="1" t="s">
        <v>41</v>
      </c>
      <c r="F98" s="1" t="s">
        <v>51</v>
      </c>
      <c r="G98" s="1" t="s">
        <v>45</v>
      </c>
      <c r="H98" s="3">
        <f t="shared" si="1"/>
        <v>1.0708333333333334E-2</v>
      </c>
    </row>
    <row r="99" spans="1:8" x14ac:dyDescent="0.25">
      <c r="A99" s="1" t="s">
        <v>347</v>
      </c>
      <c r="B99" s="2" t="s">
        <v>348</v>
      </c>
      <c r="C99" s="2" t="s">
        <v>349</v>
      </c>
      <c r="D99" s="1" t="s">
        <v>35</v>
      </c>
      <c r="E99" s="1" t="s">
        <v>50</v>
      </c>
      <c r="F99" s="1" t="s">
        <v>37</v>
      </c>
      <c r="G99" s="1" t="s">
        <v>45</v>
      </c>
      <c r="H99" s="3">
        <f t="shared" si="1"/>
        <v>8.788194444444444E-3</v>
      </c>
    </row>
    <row r="100" spans="1:8" x14ac:dyDescent="0.25">
      <c r="A100" s="1" t="s">
        <v>350</v>
      </c>
      <c r="B100" s="2" t="s">
        <v>351</v>
      </c>
      <c r="C100" s="2" t="s">
        <v>352</v>
      </c>
      <c r="D100" s="1" t="s">
        <v>23</v>
      </c>
      <c r="E100" s="1" t="s">
        <v>24</v>
      </c>
      <c r="F100" s="1" t="s">
        <v>25</v>
      </c>
      <c r="G100" s="1" t="s">
        <v>19</v>
      </c>
      <c r="H100" s="3">
        <f t="shared" si="1"/>
        <v>2.5694444444444436E-3</v>
      </c>
    </row>
    <row r="101" spans="1:8" x14ac:dyDescent="0.25">
      <c r="A101" s="1" t="s">
        <v>353</v>
      </c>
      <c r="B101" s="2" t="s">
        <v>354</v>
      </c>
      <c r="C101" s="2" t="s">
        <v>355</v>
      </c>
      <c r="D101" s="1" t="s">
        <v>35</v>
      </c>
      <c r="E101" s="1" t="s">
        <v>41</v>
      </c>
      <c r="F101" s="1" t="s">
        <v>37</v>
      </c>
      <c r="G101" s="1" t="s">
        <v>26</v>
      </c>
      <c r="H101" s="3">
        <f t="shared" si="1"/>
        <v>7.8611111111111121E-3</v>
      </c>
    </row>
    <row r="102" spans="1:8" x14ac:dyDescent="0.25">
      <c r="A102" s="1" t="s">
        <v>356</v>
      </c>
      <c r="B102" s="2" t="s">
        <v>357</v>
      </c>
      <c r="C102" s="2" t="s">
        <v>358</v>
      </c>
      <c r="D102" s="1" t="s">
        <v>23</v>
      </c>
      <c r="E102" s="1" t="s">
        <v>50</v>
      </c>
      <c r="F102" s="1" t="s">
        <v>25</v>
      </c>
      <c r="G102" s="1" t="s">
        <v>176</v>
      </c>
      <c r="H102" s="3">
        <f t="shared" si="1"/>
        <v>2.8553240740740761E-3</v>
      </c>
    </row>
    <row r="103" spans="1:8" x14ac:dyDescent="0.25">
      <c r="A103" s="1" t="s">
        <v>359</v>
      </c>
      <c r="B103" s="2" t="s">
        <v>360</v>
      </c>
      <c r="C103" s="2" t="s">
        <v>361</v>
      </c>
      <c r="D103" s="1" t="s">
        <v>23</v>
      </c>
      <c r="E103" s="1" t="s">
        <v>65</v>
      </c>
      <c r="F103" s="1" t="s">
        <v>25</v>
      </c>
      <c r="G103" s="1" t="s">
        <v>26</v>
      </c>
      <c r="H103" s="3">
        <f t="shared" si="1"/>
        <v>1.6444444444444446E-2</v>
      </c>
    </row>
    <row r="104" spans="1:8" x14ac:dyDescent="0.25">
      <c r="A104" s="1" t="s">
        <v>362</v>
      </c>
      <c r="B104" s="2" t="s">
        <v>363</v>
      </c>
      <c r="C104" s="2" t="s">
        <v>308</v>
      </c>
      <c r="D104" s="1" t="s">
        <v>16</v>
      </c>
      <c r="E104" s="1" t="s">
        <v>50</v>
      </c>
      <c r="F104" s="1" t="s">
        <v>524</v>
      </c>
      <c r="G104" s="1" t="s">
        <v>45</v>
      </c>
      <c r="H104" s="3">
        <f t="shared" si="1"/>
        <v>1.987152777777778E-2</v>
      </c>
    </row>
    <row r="105" spans="1:8" x14ac:dyDescent="0.25">
      <c r="A105" s="1" t="s">
        <v>365</v>
      </c>
      <c r="B105" s="2" t="s">
        <v>366</v>
      </c>
      <c r="C105" s="2" t="s">
        <v>367</v>
      </c>
      <c r="D105" s="1" t="s">
        <v>23</v>
      </c>
      <c r="E105" s="1" t="s">
        <v>83</v>
      </c>
      <c r="F105" s="1" t="s">
        <v>25</v>
      </c>
      <c r="G105" s="1" t="s">
        <v>26</v>
      </c>
      <c r="H105" s="3">
        <f t="shared" si="1"/>
        <v>1.6460648148148148E-2</v>
      </c>
    </row>
    <row r="106" spans="1:8" x14ac:dyDescent="0.25">
      <c r="A106" s="1" t="s">
        <v>368</v>
      </c>
      <c r="B106" s="2" t="s">
        <v>369</v>
      </c>
      <c r="C106" s="2" t="s">
        <v>370</v>
      </c>
      <c r="D106" s="1" t="s">
        <v>122</v>
      </c>
      <c r="E106" s="1" t="s">
        <v>83</v>
      </c>
      <c r="F106" s="1" t="s">
        <v>524</v>
      </c>
      <c r="G106" s="1" t="s">
        <v>19</v>
      </c>
      <c r="H106" s="3">
        <f t="shared" si="1"/>
        <v>1.2106481481481477E-2</v>
      </c>
    </row>
    <row r="107" spans="1:8" x14ac:dyDescent="0.25">
      <c r="A107" s="1" t="s">
        <v>372</v>
      </c>
      <c r="B107" s="2" t="s">
        <v>373</v>
      </c>
      <c r="C107" s="2" t="s">
        <v>374</v>
      </c>
      <c r="D107" s="1" t="s">
        <v>69</v>
      </c>
      <c r="E107" s="1" t="s">
        <v>70</v>
      </c>
      <c r="F107" s="1" t="s">
        <v>523</v>
      </c>
      <c r="G107" s="1" t="s">
        <v>45</v>
      </c>
      <c r="H107" s="3">
        <f t="shared" si="1"/>
        <v>2.5763888888888885E-3</v>
      </c>
    </row>
    <row r="108" spans="1:8" x14ac:dyDescent="0.25">
      <c r="A108" s="1" t="s">
        <v>375</v>
      </c>
      <c r="B108" s="2" t="s">
        <v>376</v>
      </c>
      <c r="C108" s="2" t="s">
        <v>377</v>
      </c>
      <c r="D108" s="1" t="s">
        <v>122</v>
      </c>
      <c r="E108" s="1" t="s">
        <v>30</v>
      </c>
      <c r="F108" s="1" t="s">
        <v>524</v>
      </c>
      <c r="G108" s="1" t="s">
        <v>26</v>
      </c>
      <c r="H108" s="3">
        <f t="shared" si="1"/>
        <v>8.053240740740741E-3</v>
      </c>
    </row>
    <row r="109" spans="1:8" x14ac:dyDescent="0.25">
      <c r="A109" s="1" t="s">
        <v>379</v>
      </c>
      <c r="B109" s="2" t="s">
        <v>380</v>
      </c>
      <c r="C109" s="2" t="s">
        <v>381</v>
      </c>
      <c r="D109" s="1" t="s">
        <v>35</v>
      </c>
      <c r="E109" s="1" t="s">
        <v>24</v>
      </c>
      <c r="F109" s="1" t="s">
        <v>37</v>
      </c>
      <c r="G109" s="1" t="s">
        <v>45</v>
      </c>
      <c r="H109" s="3">
        <f t="shared" si="1"/>
        <v>2.9866898148148146E-2</v>
      </c>
    </row>
    <row r="110" spans="1:8" x14ac:dyDescent="0.25">
      <c r="A110" s="1" t="s">
        <v>382</v>
      </c>
      <c r="B110" s="2" t="s">
        <v>383</v>
      </c>
      <c r="C110" s="2" t="s">
        <v>384</v>
      </c>
      <c r="D110" s="1" t="s">
        <v>35</v>
      </c>
      <c r="E110" s="1" t="s">
        <v>30</v>
      </c>
      <c r="F110" s="1" t="s">
        <v>37</v>
      </c>
      <c r="G110" s="1" t="s">
        <v>19</v>
      </c>
      <c r="H110" s="3">
        <f t="shared" si="1"/>
        <v>8.8310185185185713E-4</v>
      </c>
    </row>
    <row r="111" spans="1:8" x14ac:dyDescent="0.25">
      <c r="A111" s="1" t="s">
        <v>385</v>
      </c>
      <c r="B111" s="2" t="s">
        <v>386</v>
      </c>
      <c r="C111" s="2" t="s">
        <v>387</v>
      </c>
      <c r="D111" s="1" t="s">
        <v>23</v>
      </c>
      <c r="E111" s="1" t="s">
        <v>30</v>
      </c>
      <c r="F111" s="1" t="s">
        <v>25</v>
      </c>
      <c r="G111" s="1" t="s">
        <v>45</v>
      </c>
      <c r="H111" s="3">
        <f t="shared" si="1"/>
        <v>2.6041666666666574E-4</v>
      </c>
    </row>
    <row r="112" spans="1:8" x14ac:dyDescent="0.25">
      <c r="A112" s="1" t="s">
        <v>388</v>
      </c>
      <c r="B112" s="2" t="s">
        <v>389</v>
      </c>
      <c r="C112" s="2" t="s">
        <v>390</v>
      </c>
      <c r="D112" s="1" t="s">
        <v>49</v>
      </c>
      <c r="E112" s="1" t="s">
        <v>65</v>
      </c>
      <c r="F112" s="1" t="s">
        <v>51</v>
      </c>
      <c r="G112" s="1" t="s">
        <v>19</v>
      </c>
      <c r="H112" s="3">
        <f t="shared" si="1"/>
        <v>1.4261574074074076E-2</v>
      </c>
    </row>
    <row r="113" spans="1:8" x14ac:dyDescent="0.25">
      <c r="A113" s="1" t="s">
        <v>391</v>
      </c>
      <c r="B113" s="2" t="s">
        <v>392</v>
      </c>
      <c r="C113" s="2" t="s">
        <v>393</v>
      </c>
      <c r="D113" s="1" t="s">
        <v>23</v>
      </c>
      <c r="E113" s="1" t="s">
        <v>30</v>
      </c>
      <c r="F113" s="1" t="s">
        <v>25</v>
      </c>
      <c r="G113" s="1" t="s">
        <v>45</v>
      </c>
      <c r="H113" s="3">
        <f t="shared" si="1"/>
        <v>7.1469907407407419E-3</v>
      </c>
    </row>
    <row r="114" spans="1:8" x14ac:dyDescent="0.25">
      <c r="A114" s="1" t="s">
        <v>394</v>
      </c>
      <c r="B114" s="2" t="s">
        <v>395</v>
      </c>
      <c r="C114" s="2" t="s">
        <v>396</v>
      </c>
      <c r="D114" s="1" t="s">
        <v>90</v>
      </c>
      <c r="E114" s="1" t="s">
        <v>24</v>
      </c>
      <c r="F114" s="1" t="s">
        <v>524</v>
      </c>
      <c r="G114" s="1" t="s">
        <v>45</v>
      </c>
      <c r="H114" s="3">
        <f t="shared" si="1"/>
        <v>2.6903935185185184E-2</v>
      </c>
    </row>
    <row r="115" spans="1:8" x14ac:dyDescent="0.25">
      <c r="A115" s="1" t="s">
        <v>398</v>
      </c>
      <c r="B115" s="2" t="s">
        <v>399</v>
      </c>
      <c r="C115" s="2" t="s">
        <v>400</v>
      </c>
      <c r="D115" s="1" t="s">
        <v>35</v>
      </c>
      <c r="E115" s="1" t="s">
        <v>36</v>
      </c>
      <c r="F115" s="1" t="s">
        <v>37</v>
      </c>
      <c r="G115" s="1" t="s">
        <v>19</v>
      </c>
      <c r="H115" s="3">
        <f t="shared" si="1"/>
        <v>8.1828703703703716E-3</v>
      </c>
    </row>
    <row r="116" spans="1:8" x14ac:dyDescent="0.25">
      <c r="A116" s="1" t="s">
        <v>401</v>
      </c>
      <c r="B116" s="2" t="s">
        <v>402</v>
      </c>
      <c r="C116" s="2" t="s">
        <v>403</v>
      </c>
      <c r="D116" s="1" t="s">
        <v>16</v>
      </c>
      <c r="E116" s="1" t="s">
        <v>41</v>
      </c>
      <c r="F116" s="1" t="s">
        <v>524</v>
      </c>
      <c r="G116" s="1" t="s">
        <v>26</v>
      </c>
      <c r="H116" s="3">
        <f t="shared" si="1"/>
        <v>2.2071759259259256E-2</v>
      </c>
    </row>
    <row r="117" spans="1:8" x14ac:dyDescent="0.25">
      <c r="A117" s="1" t="s">
        <v>405</v>
      </c>
      <c r="B117" s="2" t="s">
        <v>406</v>
      </c>
      <c r="C117" s="2" t="s">
        <v>407</v>
      </c>
      <c r="D117" s="1" t="s">
        <v>49</v>
      </c>
      <c r="E117" s="1" t="s">
        <v>83</v>
      </c>
      <c r="F117" s="1" t="s">
        <v>51</v>
      </c>
      <c r="G117" s="1" t="s">
        <v>45</v>
      </c>
      <c r="H117" s="3">
        <f t="shared" si="1"/>
        <v>3.3693287037037035E-2</v>
      </c>
    </row>
    <row r="118" spans="1:8" x14ac:dyDescent="0.25">
      <c r="A118" s="1" t="s">
        <v>408</v>
      </c>
      <c r="B118" s="2" t="s">
        <v>409</v>
      </c>
      <c r="C118" s="2" t="s">
        <v>410</v>
      </c>
      <c r="D118" s="1" t="s">
        <v>23</v>
      </c>
      <c r="E118" s="1" t="s">
        <v>30</v>
      </c>
      <c r="F118" s="1" t="s">
        <v>25</v>
      </c>
      <c r="G118" s="1" t="s">
        <v>26</v>
      </c>
      <c r="H118" s="3">
        <f t="shared" si="1"/>
        <v>1.4609953703703705E-2</v>
      </c>
    </row>
    <row r="119" spans="1:8" x14ac:dyDescent="0.25">
      <c r="A119" s="1" t="s">
        <v>411</v>
      </c>
      <c r="B119" s="2" t="s">
        <v>412</v>
      </c>
      <c r="C119" s="2" t="s">
        <v>413</v>
      </c>
      <c r="D119" s="1" t="s">
        <v>49</v>
      </c>
      <c r="E119" s="1" t="s">
        <v>70</v>
      </c>
      <c r="F119" s="1" t="s">
        <v>51</v>
      </c>
      <c r="G119" s="1" t="s">
        <v>26</v>
      </c>
      <c r="H119" s="3">
        <f t="shared" si="1"/>
        <v>1.4784722222222218E-2</v>
      </c>
    </row>
    <row r="120" spans="1:8" x14ac:dyDescent="0.25">
      <c r="A120" s="1" t="s">
        <v>414</v>
      </c>
      <c r="B120" s="2" t="s">
        <v>415</v>
      </c>
      <c r="C120" s="2" t="s">
        <v>416</v>
      </c>
      <c r="D120" s="1" t="s">
        <v>122</v>
      </c>
      <c r="E120" s="1" t="s">
        <v>50</v>
      </c>
      <c r="F120" s="1" t="s">
        <v>524</v>
      </c>
      <c r="G120" s="1" t="s">
        <v>45</v>
      </c>
      <c r="H120" s="3">
        <f t="shared" si="1"/>
        <v>1.220138888888889E-2</v>
      </c>
    </row>
    <row r="121" spans="1:8" x14ac:dyDescent="0.25">
      <c r="A121" s="1" t="s">
        <v>418</v>
      </c>
      <c r="B121" s="2" t="s">
        <v>419</v>
      </c>
      <c r="C121" s="2" t="s">
        <v>420</v>
      </c>
      <c r="D121" s="1" t="s">
        <v>35</v>
      </c>
      <c r="E121" s="1" t="s">
        <v>24</v>
      </c>
      <c r="F121" s="1" t="s">
        <v>37</v>
      </c>
      <c r="G121" s="1" t="s">
        <v>26</v>
      </c>
      <c r="H121" s="3">
        <f t="shared" si="1"/>
        <v>7.14814814814815E-3</v>
      </c>
    </row>
    <row r="122" spans="1:8" x14ac:dyDescent="0.25">
      <c r="A122" s="1" t="s">
        <v>421</v>
      </c>
      <c r="B122" s="2" t="s">
        <v>422</v>
      </c>
      <c r="C122" s="2" t="s">
        <v>423</v>
      </c>
      <c r="D122" s="1" t="s">
        <v>16</v>
      </c>
      <c r="E122" s="1" t="s">
        <v>41</v>
      </c>
      <c r="F122" s="1" t="s">
        <v>524</v>
      </c>
      <c r="G122" s="1" t="s">
        <v>26</v>
      </c>
      <c r="H122" s="3">
        <f t="shared" si="1"/>
        <v>1.5994212962962964E-2</v>
      </c>
    </row>
    <row r="123" spans="1:8" x14ac:dyDescent="0.25">
      <c r="A123" s="1" t="s">
        <v>425</v>
      </c>
      <c r="B123" s="2" t="s">
        <v>426</v>
      </c>
      <c r="C123" s="2" t="s">
        <v>427</v>
      </c>
      <c r="D123" s="1" t="s">
        <v>49</v>
      </c>
      <c r="E123" s="1" t="s">
        <v>65</v>
      </c>
      <c r="F123" s="1" t="s">
        <v>51</v>
      </c>
      <c r="G123" s="1" t="s">
        <v>26</v>
      </c>
      <c r="H123" s="3">
        <f t="shared" si="1"/>
        <v>1.6127314814814813E-2</v>
      </c>
    </row>
    <row r="124" spans="1:8" x14ac:dyDescent="0.25">
      <c r="A124" s="1" t="s">
        <v>428</v>
      </c>
      <c r="B124" s="2" t="s">
        <v>429</v>
      </c>
      <c r="C124" s="2" t="s">
        <v>430</v>
      </c>
      <c r="D124" s="1" t="s">
        <v>23</v>
      </c>
      <c r="E124" s="1" t="s">
        <v>17</v>
      </c>
      <c r="F124" s="1" t="s">
        <v>25</v>
      </c>
      <c r="G124" s="1" t="s">
        <v>26</v>
      </c>
      <c r="H124" s="3">
        <f t="shared" si="1"/>
        <v>1.7699074074074072E-2</v>
      </c>
    </row>
    <row r="125" spans="1:8" x14ac:dyDescent="0.25">
      <c r="A125" s="1" t="s">
        <v>431</v>
      </c>
      <c r="B125" s="2" t="s">
        <v>432</v>
      </c>
      <c r="C125" s="2" t="s">
        <v>433</v>
      </c>
      <c r="D125" s="1" t="s">
        <v>69</v>
      </c>
      <c r="E125" s="1" t="s">
        <v>24</v>
      </c>
      <c r="F125" s="1" t="s">
        <v>523</v>
      </c>
      <c r="G125" s="1" t="s">
        <v>26</v>
      </c>
      <c r="H125" s="3">
        <f t="shared" si="1"/>
        <v>3.4525462962962964E-3</v>
      </c>
    </row>
    <row r="126" spans="1:8" x14ac:dyDescent="0.25">
      <c r="A126" s="1" t="s">
        <v>434</v>
      </c>
      <c r="B126" s="2" t="s">
        <v>435</v>
      </c>
      <c r="C126" s="2" t="s">
        <v>68</v>
      </c>
      <c r="D126" s="1" t="s">
        <v>122</v>
      </c>
      <c r="E126" s="1" t="s">
        <v>83</v>
      </c>
      <c r="F126" s="1" t="s">
        <v>524</v>
      </c>
      <c r="G126" s="1" t="s">
        <v>26</v>
      </c>
      <c r="H126" s="3">
        <f t="shared" si="1"/>
        <v>2.9559027777777778E-2</v>
      </c>
    </row>
    <row r="127" spans="1:8" x14ac:dyDescent="0.25">
      <c r="A127" s="1" t="s">
        <v>437</v>
      </c>
      <c r="B127" s="2" t="s">
        <v>438</v>
      </c>
      <c r="C127" s="2" t="s">
        <v>439</v>
      </c>
      <c r="D127" s="1" t="s">
        <v>122</v>
      </c>
      <c r="E127" s="1" t="s">
        <v>36</v>
      </c>
      <c r="F127" s="1" t="s">
        <v>524</v>
      </c>
      <c r="G127" s="1" t="s">
        <v>26</v>
      </c>
      <c r="H127" s="3">
        <f t="shared" si="1"/>
        <v>1.1519675925925925E-2</v>
      </c>
    </row>
    <row r="128" spans="1:8" x14ac:dyDescent="0.25">
      <c r="A128" s="1" t="s">
        <v>441</v>
      </c>
      <c r="B128" s="2" t="s">
        <v>442</v>
      </c>
      <c r="C128" s="2" t="s">
        <v>443</v>
      </c>
      <c r="D128" s="1" t="s">
        <v>35</v>
      </c>
      <c r="E128" s="1" t="s">
        <v>50</v>
      </c>
      <c r="F128" s="1" t="s">
        <v>37</v>
      </c>
      <c r="G128" s="1" t="s">
        <v>45</v>
      </c>
      <c r="H128" s="3">
        <f t="shared" si="1"/>
        <v>1.2505787037037036E-2</v>
      </c>
    </row>
    <row r="129" spans="1:8" x14ac:dyDescent="0.25">
      <c r="A129" s="1" t="s">
        <v>444</v>
      </c>
      <c r="B129" s="2" t="s">
        <v>445</v>
      </c>
      <c r="C129" s="2" t="s">
        <v>446</v>
      </c>
      <c r="D129" s="1" t="s">
        <v>23</v>
      </c>
      <c r="E129" s="1" t="s">
        <v>83</v>
      </c>
      <c r="F129" s="1" t="s">
        <v>25</v>
      </c>
      <c r="G129" s="1" t="s">
        <v>45</v>
      </c>
      <c r="H129" s="3">
        <f t="shared" si="1"/>
        <v>1.5046296296296682E-4</v>
      </c>
    </row>
    <row r="130" spans="1:8" x14ac:dyDescent="0.25">
      <c r="A130" s="1" t="s">
        <v>447</v>
      </c>
      <c r="B130" s="2" t="s">
        <v>448</v>
      </c>
      <c r="C130" s="2" t="s">
        <v>449</v>
      </c>
      <c r="D130" s="1" t="s">
        <v>69</v>
      </c>
      <c r="E130" s="1" t="s">
        <v>30</v>
      </c>
      <c r="F130" s="1" t="s">
        <v>523</v>
      </c>
      <c r="G130" s="1" t="s">
        <v>19</v>
      </c>
      <c r="H130" s="3">
        <f t="shared" ref="H130:H151" si="2">ABS(C130-B130)</f>
        <v>1.144097222222222E-2</v>
      </c>
    </row>
    <row r="131" spans="1:8" x14ac:dyDescent="0.25">
      <c r="A131" s="1" t="s">
        <v>450</v>
      </c>
      <c r="B131" s="2" t="s">
        <v>451</v>
      </c>
      <c r="C131" s="2" t="s">
        <v>452</v>
      </c>
      <c r="D131" s="1" t="s">
        <v>16</v>
      </c>
      <c r="E131" s="1" t="s">
        <v>24</v>
      </c>
      <c r="F131" s="1" t="s">
        <v>524</v>
      </c>
      <c r="G131" s="1" t="s">
        <v>26</v>
      </c>
      <c r="H131" s="3">
        <f t="shared" si="2"/>
        <v>1.4749999999999996E-2</v>
      </c>
    </row>
    <row r="132" spans="1:8" x14ac:dyDescent="0.25">
      <c r="A132" s="1" t="s">
        <v>454</v>
      </c>
      <c r="B132" s="2" t="s">
        <v>455</v>
      </c>
      <c r="C132" s="2" t="s">
        <v>456</v>
      </c>
      <c r="D132" s="1" t="s">
        <v>122</v>
      </c>
      <c r="E132" s="1" t="s">
        <v>55</v>
      </c>
      <c r="F132" s="1" t="s">
        <v>524</v>
      </c>
      <c r="G132" s="1" t="s">
        <v>45</v>
      </c>
      <c r="H132" s="3">
        <f t="shared" si="2"/>
        <v>1.1877314814814823E-2</v>
      </c>
    </row>
    <row r="133" spans="1:8" x14ac:dyDescent="0.25">
      <c r="A133" s="1" t="s">
        <v>458</v>
      </c>
      <c r="B133" s="2" t="s">
        <v>459</v>
      </c>
      <c r="C133" s="2" t="s">
        <v>460</v>
      </c>
      <c r="D133" s="1" t="s">
        <v>122</v>
      </c>
      <c r="E133" s="1" t="s">
        <v>30</v>
      </c>
      <c r="F133" s="1" t="s">
        <v>524</v>
      </c>
      <c r="G133" s="1" t="s">
        <v>45</v>
      </c>
      <c r="H133" s="3">
        <f t="shared" si="2"/>
        <v>6.5254629629629603E-3</v>
      </c>
    </row>
    <row r="134" spans="1:8" x14ac:dyDescent="0.25">
      <c r="A134" s="1" t="s">
        <v>462</v>
      </c>
      <c r="B134" s="2" t="s">
        <v>463</v>
      </c>
      <c r="C134" s="2" t="s">
        <v>464</v>
      </c>
      <c r="D134" s="1" t="s">
        <v>16</v>
      </c>
      <c r="E134" s="1" t="s">
        <v>65</v>
      </c>
      <c r="F134" s="1" t="s">
        <v>524</v>
      </c>
      <c r="G134" s="1" t="s">
        <v>45</v>
      </c>
      <c r="H134" s="3">
        <f t="shared" si="2"/>
        <v>2.2549768518518521E-2</v>
      </c>
    </row>
    <row r="135" spans="1:8" x14ac:dyDescent="0.25">
      <c r="A135" s="1" t="s">
        <v>466</v>
      </c>
      <c r="B135" s="2" t="s">
        <v>467</v>
      </c>
      <c r="C135" s="2" t="s">
        <v>468</v>
      </c>
      <c r="D135" s="1" t="s">
        <v>49</v>
      </c>
      <c r="E135" s="1" t="s">
        <v>36</v>
      </c>
      <c r="F135" s="1" t="s">
        <v>51</v>
      </c>
      <c r="G135" s="1" t="s">
        <v>19</v>
      </c>
      <c r="H135" s="3">
        <f t="shared" si="2"/>
        <v>1.3946759259259264E-3</v>
      </c>
    </row>
    <row r="136" spans="1:8" x14ac:dyDescent="0.25">
      <c r="A136" s="1" t="s">
        <v>469</v>
      </c>
      <c r="B136" s="2" t="s">
        <v>470</v>
      </c>
      <c r="C136" s="2" t="s">
        <v>471</v>
      </c>
      <c r="D136" s="1" t="s">
        <v>16</v>
      </c>
      <c r="E136" s="1" t="s">
        <v>50</v>
      </c>
      <c r="F136" s="1" t="s">
        <v>524</v>
      </c>
      <c r="G136" s="1" t="s">
        <v>45</v>
      </c>
      <c r="H136" s="3">
        <f t="shared" si="2"/>
        <v>2.4859953703703704E-2</v>
      </c>
    </row>
    <row r="137" spans="1:8" x14ac:dyDescent="0.25">
      <c r="A137" s="1" t="s">
        <v>473</v>
      </c>
      <c r="B137" s="2" t="s">
        <v>474</v>
      </c>
      <c r="C137" s="2" t="s">
        <v>475</v>
      </c>
      <c r="D137" s="1" t="s">
        <v>90</v>
      </c>
      <c r="E137" s="1" t="s">
        <v>55</v>
      </c>
      <c r="F137" s="1" t="s">
        <v>524</v>
      </c>
      <c r="G137" s="1" t="s">
        <v>45</v>
      </c>
      <c r="H137" s="3">
        <f t="shared" si="2"/>
        <v>7.6539351851851803E-3</v>
      </c>
    </row>
    <row r="138" spans="1:8" x14ac:dyDescent="0.25">
      <c r="A138" s="1" t="s">
        <v>477</v>
      </c>
      <c r="B138" s="2" t="s">
        <v>478</v>
      </c>
      <c r="C138" s="2" t="s">
        <v>479</v>
      </c>
      <c r="D138" s="1" t="s">
        <v>35</v>
      </c>
      <c r="E138" s="1" t="s">
        <v>55</v>
      </c>
      <c r="F138" s="1" t="s">
        <v>37</v>
      </c>
      <c r="G138" s="1" t="s">
        <v>45</v>
      </c>
      <c r="H138" s="3">
        <f t="shared" si="2"/>
        <v>2.0196759259259178E-3</v>
      </c>
    </row>
    <row r="139" spans="1:8" x14ac:dyDescent="0.25">
      <c r="A139" s="1" t="s">
        <v>480</v>
      </c>
      <c r="B139" s="2" t="s">
        <v>481</v>
      </c>
      <c r="C139" s="2" t="s">
        <v>482</v>
      </c>
      <c r="D139" s="1" t="s">
        <v>35</v>
      </c>
      <c r="E139" s="1" t="s">
        <v>24</v>
      </c>
      <c r="F139" s="1" t="s">
        <v>37</v>
      </c>
      <c r="G139" s="1" t="s">
        <v>45</v>
      </c>
      <c r="H139" s="3">
        <f t="shared" si="2"/>
        <v>1.5682870370370347E-3</v>
      </c>
    </row>
    <row r="140" spans="1:8" x14ac:dyDescent="0.25">
      <c r="A140" s="1" t="s">
        <v>483</v>
      </c>
      <c r="B140" s="2" t="s">
        <v>484</v>
      </c>
      <c r="C140" s="2" t="s">
        <v>485</v>
      </c>
      <c r="D140" s="1" t="s">
        <v>23</v>
      </c>
      <c r="E140" s="1" t="s">
        <v>17</v>
      </c>
      <c r="F140" s="1" t="s">
        <v>25</v>
      </c>
      <c r="G140" s="1" t="s">
        <v>26</v>
      </c>
      <c r="H140" s="3">
        <f t="shared" si="2"/>
        <v>1.2787037037037034E-2</v>
      </c>
    </row>
    <row r="141" spans="1:8" x14ac:dyDescent="0.25">
      <c r="A141" s="1" t="s">
        <v>486</v>
      </c>
      <c r="B141" s="2" t="s">
        <v>487</v>
      </c>
      <c r="C141" s="2" t="s">
        <v>488</v>
      </c>
      <c r="D141" s="1" t="s">
        <v>69</v>
      </c>
      <c r="E141" s="1" t="s">
        <v>55</v>
      </c>
      <c r="F141" s="1" t="s">
        <v>523</v>
      </c>
      <c r="G141" s="1" t="s">
        <v>45</v>
      </c>
      <c r="H141" s="3">
        <f t="shared" si="2"/>
        <v>9.8449074074074099E-3</v>
      </c>
    </row>
    <row r="142" spans="1:8" x14ac:dyDescent="0.25">
      <c r="A142" s="1" t="s">
        <v>489</v>
      </c>
      <c r="B142" s="2" t="s">
        <v>490</v>
      </c>
      <c r="C142" s="2" t="s">
        <v>491</v>
      </c>
      <c r="D142" s="1" t="s">
        <v>35</v>
      </c>
      <c r="E142" s="1" t="s">
        <v>70</v>
      </c>
      <c r="F142" s="1" t="s">
        <v>37</v>
      </c>
      <c r="G142" s="1" t="s">
        <v>26</v>
      </c>
      <c r="H142" s="3">
        <f t="shared" si="2"/>
        <v>5.1041666666666666E-3</v>
      </c>
    </row>
    <row r="143" spans="1:8" x14ac:dyDescent="0.25">
      <c r="A143" s="1" t="s">
        <v>492</v>
      </c>
      <c r="B143" s="2" t="s">
        <v>493</v>
      </c>
      <c r="C143" s="2" t="s">
        <v>494</v>
      </c>
      <c r="D143" s="1" t="s">
        <v>35</v>
      </c>
      <c r="E143" s="1" t="s">
        <v>17</v>
      </c>
      <c r="F143" s="1" t="s">
        <v>37</v>
      </c>
      <c r="G143" s="1" t="s">
        <v>26</v>
      </c>
      <c r="H143" s="3">
        <f t="shared" si="2"/>
        <v>5.4791666666666669E-3</v>
      </c>
    </row>
    <row r="144" spans="1:8" x14ac:dyDescent="0.25">
      <c r="A144" s="1" t="s">
        <v>495</v>
      </c>
      <c r="B144" s="2" t="s">
        <v>496</v>
      </c>
      <c r="C144" s="2" t="s">
        <v>497</v>
      </c>
      <c r="D144" s="1" t="s">
        <v>69</v>
      </c>
      <c r="E144" s="1" t="s">
        <v>41</v>
      </c>
      <c r="F144" s="1" t="s">
        <v>523</v>
      </c>
      <c r="G144" s="1" t="s">
        <v>26</v>
      </c>
      <c r="H144" s="3">
        <f t="shared" si="2"/>
        <v>9.7222222222222206E-3</v>
      </c>
    </row>
    <row r="145" spans="1:8" x14ac:dyDescent="0.25">
      <c r="A145" s="1" t="s">
        <v>498</v>
      </c>
      <c r="B145" s="2" t="s">
        <v>499</v>
      </c>
      <c r="C145" s="2" t="s">
        <v>500</v>
      </c>
      <c r="D145" s="1" t="s">
        <v>35</v>
      </c>
      <c r="E145" s="1" t="s">
        <v>36</v>
      </c>
      <c r="F145" s="1" t="s">
        <v>37</v>
      </c>
      <c r="G145" s="1" t="s">
        <v>45</v>
      </c>
      <c r="H145" s="3">
        <f t="shared" si="2"/>
        <v>7.5231481481488616E-5</v>
      </c>
    </row>
    <row r="146" spans="1:8" x14ac:dyDescent="0.25">
      <c r="A146" s="1" t="s">
        <v>501</v>
      </c>
      <c r="B146" s="2" t="s">
        <v>502</v>
      </c>
      <c r="C146" s="2" t="s">
        <v>503</v>
      </c>
      <c r="D146" s="1" t="s">
        <v>23</v>
      </c>
      <c r="E146" s="1" t="s">
        <v>70</v>
      </c>
      <c r="F146" s="1" t="s">
        <v>25</v>
      </c>
      <c r="G146" s="1" t="s">
        <v>26</v>
      </c>
      <c r="H146" s="3">
        <f t="shared" si="2"/>
        <v>9.5601851851851855E-3</v>
      </c>
    </row>
    <row r="147" spans="1:8" x14ac:dyDescent="0.25">
      <c r="A147" s="1" t="s">
        <v>504</v>
      </c>
      <c r="B147" s="2" t="s">
        <v>505</v>
      </c>
      <c r="C147" s="2" t="s">
        <v>506</v>
      </c>
      <c r="D147" s="1" t="s">
        <v>122</v>
      </c>
      <c r="E147" s="1" t="s">
        <v>36</v>
      </c>
      <c r="F147" s="1" t="s">
        <v>524</v>
      </c>
      <c r="G147" s="1" t="s">
        <v>176</v>
      </c>
      <c r="H147" s="3">
        <f t="shared" si="2"/>
        <v>4.0393518518519467E-4</v>
      </c>
    </row>
    <row r="148" spans="1:8" x14ac:dyDescent="0.25">
      <c r="A148" s="1" t="s">
        <v>508</v>
      </c>
      <c r="B148" s="2" t="s">
        <v>509</v>
      </c>
      <c r="C148" s="2" t="s">
        <v>510</v>
      </c>
      <c r="D148" s="1" t="s">
        <v>69</v>
      </c>
      <c r="E148" s="1" t="s">
        <v>55</v>
      </c>
      <c r="F148" s="1" t="s">
        <v>523</v>
      </c>
      <c r="G148" s="1" t="s">
        <v>19</v>
      </c>
      <c r="H148" s="3">
        <f t="shared" si="2"/>
        <v>3.5390046296296294E-2</v>
      </c>
    </row>
    <row r="149" spans="1:8" x14ac:dyDescent="0.25">
      <c r="A149" s="1" t="s">
        <v>511</v>
      </c>
      <c r="B149" s="2" t="s">
        <v>512</v>
      </c>
      <c r="C149" s="2" t="s">
        <v>513</v>
      </c>
      <c r="D149" s="1" t="s">
        <v>90</v>
      </c>
      <c r="E149" s="1" t="s">
        <v>36</v>
      </c>
      <c r="F149" s="1" t="s">
        <v>524</v>
      </c>
      <c r="G149" s="1" t="s">
        <v>45</v>
      </c>
      <c r="H149" s="3">
        <f t="shared" si="2"/>
        <v>3.8578703703703698E-2</v>
      </c>
    </row>
    <row r="150" spans="1:8" x14ac:dyDescent="0.25">
      <c r="A150" s="1" t="s">
        <v>515</v>
      </c>
      <c r="B150" s="2" t="s">
        <v>516</v>
      </c>
      <c r="C150" s="2" t="s">
        <v>517</v>
      </c>
      <c r="D150" s="1" t="s">
        <v>16</v>
      </c>
      <c r="E150" s="1" t="s">
        <v>65</v>
      </c>
      <c r="F150" s="1" t="s">
        <v>524</v>
      </c>
      <c r="G150" s="1" t="s">
        <v>26</v>
      </c>
      <c r="H150" s="3">
        <f t="shared" si="2"/>
        <v>1.9418981481481475E-2</v>
      </c>
    </row>
    <row r="151" spans="1:8" x14ac:dyDescent="0.25">
      <c r="A151" s="1" t="s">
        <v>519</v>
      </c>
      <c r="B151" s="2" t="s">
        <v>520</v>
      </c>
      <c r="C151" s="2" t="s">
        <v>521</v>
      </c>
      <c r="D151" s="1" t="s">
        <v>35</v>
      </c>
      <c r="E151" s="1" t="s">
        <v>17</v>
      </c>
      <c r="F151" s="1" t="s">
        <v>37</v>
      </c>
      <c r="G151" s="1" t="s">
        <v>26</v>
      </c>
      <c r="H151" s="3">
        <f t="shared" si="2"/>
        <v>5.3935185185185336E-4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election activeCell="B32" sqref="B32"/>
    </sheetView>
  </sheetViews>
  <sheetFormatPr defaultRowHeight="15" x14ac:dyDescent="0.25"/>
  <cols>
    <col min="1" max="1" width="13.140625" customWidth="1"/>
    <col min="2" max="2" width="25.140625" customWidth="1"/>
    <col min="3" max="3" width="5" customWidth="1"/>
    <col min="4" max="4" width="4.5703125" customWidth="1"/>
    <col min="5" max="5" width="8.5703125" customWidth="1"/>
    <col min="6" max="6" width="11.28515625" customWidth="1"/>
    <col min="7" max="7" width="8.140625" customWidth="1"/>
    <col min="8" max="8" width="9" customWidth="1"/>
    <col min="9" max="9" width="11.28515625" bestFit="1" customWidth="1"/>
  </cols>
  <sheetData>
    <row r="1" spans="1:9" x14ac:dyDescent="0.25">
      <c r="A1" s="4" t="s">
        <v>525</v>
      </c>
      <c r="B1" t="s">
        <v>527</v>
      </c>
    </row>
    <row r="2" spans="1:9" x14ac:dyDescent="0.25">
      <c r="A2" s="5" t="s">
        <v>49</v>
      </c>
      <c r="B2" s="3">
        <v>1.8801697530864199E-2</v>
      </c>
    </row>
    <row r="3" spans="1:9" x14ac:dyDescent="0.25">
      <c r="A3" s="5" t="s">
        <v>122</v>
      </c>
      <c r="B3" s="3">
        <v>1.2489390432098764E-2</v>
      </c>
    </row>
    <row r="4" spans="1:9" x14ac:dyDescent="0.25">
      <c r="A4" s="5" t="s">
        <v>35</v>
      </c>
      <c r="B4" s="3">
        <v>1.0124421296296296E-2</v>
      </c>
    </row>
    <row r="5" spans="1:9" x14ac:dyDescent="0.25">
      <c r="A5" s="5" t="s">
        <v>69</v>
      </c>
      <c r="B5" s="3">
        <v>1.3201992753623191E-2</v>
      </c>
    </row>
    <row r="6" spans="1:9" x14ac:dyDescent="0.25">
      <c r="A6" s="5" t="s">
        <v>16</v>
      </c>
      <c r="B6" s="3">
        <v>1.6619084362139921E-2</v>
      </c>
    </row>
    <row r="7" spans="1:9" x14ac:dyDescent="0.25">
      <c r="A7" s="5" t="s">
        <v>90</v>
      </c>
      <c r="B7" s="3">
        <v>1.3270502645502644E-2</v>
      </c>
    </row>
    <row r="8" spans="1:9" x14ac:dyDescent="0.25">
      <c r="A8" s="5" t="s">
        <v>23</v>
      </c>
      <c r="B8" s="3">
        <v>1.2075390341321716E-2</v>
      </c>
    </row>
    <row r="9" spans="1:9" x14ac:dyDescent="0.25">
      <c r="A9" s="5" t="s">
        <v>526</v>
      </c>
      <c r="B9" s="3">
        <v>1.3242746913580242E-2</v>
      </c>
    </row>
    <row r="14" spans="1:9" x14ac:dyDescent="0.25">
      <c r="D14" s="1"/>
      <c r="E14" s="1"/>
      <c r="F14" s="1"/>
      <c r="G14" s="1"/>
      <c r="H14" s="1"/>
      <c r="I14" s="1"/>
    </row>
    <row r="15" spans="1:9" x14ac:dyDescent="0.25">
      <c r="D15" s="1"/>
      <c r="E15" s="1"/>
      <c r="F15" s="1"/>
      <c r="G15" s="1"/>
      <c r="H15" s="1"/>
      <c r="I15" s="1"/>
    </row>
    <row r="16" spans="1:9" x14ac:dyDescent="0.25">
      <c r="A16" s="4" t="s">
        <v>530</v>
      </c>
      <c r="B16" s="4" t="s">
        <v>529</v>
      </c>
      <c r="G16" s="1"/>
      <c r="H16" s="1"/>
      <c r="I16" s="1"/>
    </row>
    <row r="17" spans="1:9" x14ac:dyDescent="0.25">
      <c r="A17" s="4" t="s">
        <v>525</v>
      </c>
      <c r="B17" t="s">
        <v>176</v>
      </c>
      <c r="C17" t="s">
        <v>19</v>
      </c>
      <c r="D17" t="s">
        <v>45</v>
      </c>
      <c r="E17" t="s">
        <v>26</v>
      </c>
      <c r="F17" t="s">
        <v>526</v>
      </c>
      <c r="G17" s="1"/>
      <c r="H17" s="1"/>
      <c r="I17" s="1"/>
    </row>
    <row r="18" spans="1:9" x14ac:dyDescent="0.25">
      <c r="A18" s="5" t="s">
        <v>49</v>
      </c>
      <c r="B18" s="1"/>
      <c r="C18" s="1">
        <v>4</v>
      </c>
      <c r="D18" s="1">
        <v>6</v>
      </c>
      <c r="E18" s="1">
        <v>5</v>
      </c>
      <c r="F18" s="1">
        <v>15</v>
      </c>
      <c r="G18" s="1"/>
      <c r="H18" s="1"/>
      <c r="I18" s="1"/>
    </row>
    <row r="19" spans="1:9" x14ac:dyDescent="0.25">
      <c r="A19" s="5" t="s">
        <v>122</v>
      </c>
      <c r="B19" s="1">
        <v>1</v>
      </c>
      <c r="C19" s="1">
        <v>1</v>
      </c>
      <c r="D19" s="1">
        <v>6</v>
      </c>
      <c r="E19" s="1">
        <v>4</v>
      </c>
      <c r="F19" s="1">
        <v>12</v>
      </c>
      <c r="G19" s="1"/>
      <c r="H19" s="1"/>
      <c r="I19" s="1"/>
    </row>
    <row r="20" spans="1:9" x14ac:dyDescent="0.25">
      <c r="A20" s="5" t="s">
        <v>35</v>
      </c>
      <c r="B20" s="1">
        <v>1</v>
      </c>
      <c r="C20" s="1">
        <v>4</v>
      </c>
      <c r="D20" s="1">
        <v>10</v>
      </c>
      <c r="E20" s="1">
        <v>9</v>
      </c>
      <c r="F20" s="1">
        <v>24</v>
      </c>
      <c r="G20" s="1"/>
      <c r="H20" s="1"/>
      <c r="I20" s="1"/>
    </row>
    <row r="21" spans="1:9" x14ac:dyDescent="0.25">
      <c r="A21" s="5" t="s">
        <v>69</v>
      </c>
      <c r="B21" s="1"/>
      <c r="C21" s="1">
        <v>5</v>
      </c>
      <c r="D21" s="1">
        <v>7</v>
      </c>
      <c r="E21" s="1">
        <v>11</v>
      </c>
      <c r="F21" s="1">
        <v>23</v>
      </c>
      <c r="G21" s="1"/>
      <c r="H21" s="1"/>
      <c r="I21" s="1"/>
    </row>
    <row r="22" spans="1:9" x14ac:dyDescent="0.25">
      <c r="A22" s="5" t="s">
        <v>16</v>
      </c>
      <c r="B22" s="1"/>
      <c r="C22" s="1">
        <v>3</v>
      </c>
      <c r="D22" s="1">
        <v>7</v>
      </c>
      <c r="E22" s="1">
        <v>8</v>
      </c>
      <c r="F22" s="1">
        <v>18</v>
      </c>
      <c r="G22" s="1"/>
      <c r="H22" s="1"/>
      <c r="I22" s="1"/>
    </row>
    <row r="23" spans="1:9" x14ac:dyDescent="0.25">
      <c r="A23" s="5" t="s">
        <v>90</v>
      </c>
      <c r="B23" s="1"/>
      <c r="C23" s="1">
        <v>1</v>
      </c>
      <c r="D23" s="1">
        <v>6</v>
      </c>
      <c r="E23" s="1"/>
      <c r="F23" s="1">
        <v>7</v>
      </c>
      <c r="G23" s="1"/>
      <c r="H23" s="1"/>
      <c r="I23" s="1"/>
    </row>
    <row r="24" spans="1:9" x14ac:dyDescent="0.25">
      <c r="A24" s="5" t="s">
        <v>23</v>
      </c>
      <c r="B24" s="1">
        <v>2</v>
      </c>
      <c r="C24" s="1">
        <v>7</v>
      </c>
      <c r="D24" s="1">
        <v>16</v>
      </c>
      <c r="E24" s="1">
        <v>26</v>
      </c>
      <c r="F24" s="1">
        <v>51</v>
      </c>
      <c r="G24" s="1"/>
      <c r="H24" s="1"/>
      <c r="I24" s="1"/>
    </row>
    <row r="25" spans="1:9" x14ac:dyDescent="0.25">
      <c r="A25" s="5" t="s">
        <v>526</v>
      </c>
      <c r="B25" s="1">
        <v>4</v>
      </c>
      <c r="C25" s="1">
        <v>25</v>
      </c>
      <c r="D25" s="1">
        <v>58</v>
      </c>
      <c r="E25" s="1">
        <v>63</v>
      </c>
      <c r="F25" s="1">
        <v>150</v>
      </c>
    </row>
    <row r="32" spans="1:9" x14ac:dyDescent="0.25">
      <c r="A32" s="4" t="s">
        <v>525</v>
      </c>
      <c r="B32" t="s">
        <v>527</v>
      </c>
    </row>
    <row r="33" spans="1:2" x14ac:dyDescent="0.25">
      <c r="A33" s="5" t="s">
        <v>176</v>
      </c>
      <c r="B33" s="3">
        <v>1.3793402777777779E-2</v>
      </c>
    </row>
    <row r="34" spans="1:2" x14ac:dyDescent="0.25">
      <c r="A34" s="5" t="s">
        <v>19</v>
      </c>
      <c r="B34" s="3">
        <v>9.2476851851851852E-3</v>
      </c>
    </row>
    <row r="35" spans="1:2" x14ac:dyDescent="0.25">
      <c r="A35" s="5" t="s">
        <v>45</v>
      </c>
      <c r="B35" s="3">
        <v>1.5622405810983399E-2</v>
      </c>
    </row>
    <row r="36" spans="1:2" x14ac:dyDescent="0.25">
      <c r="A36" s="5" t="s">
        <v>26</v>
      </c>
      <c r="B36" s="3">
        <v>1.2602329512051737E-2</v>
      </c>
    </row>
    <row r="37" spans="1:2" x14ac:dyDescent="0.25">
      <c r="A37" s="5" t="s">
        <v>526</v>
      </c>
      <c r="B37" s="3">
        <v>1.3242746913580246E-2</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zoomScale="90" zoomScaleNormal="90" workbookViewId="0"/>
  </sheetViews>
  <sheetFormatPr defaultRowHeight="15" x14ac:dyDescent="0.25"/>
  <cols>
    <col min="1" max="1" width="15.7109375" customWidth="1"/>
    <col min="2" max="2" width="16.28515625" customWidth="1"/>
    <col min="3" max="3" width="5" customWidth="1"/>
    <col min="4" max="4" width="4.7109375" customWidth="1"/>
    <col min="5" max="5" width="8.5703125" customWidth="1"/>
    <col min="6" max="6" width="11.28515625" bestFit="1" customWidth="1"/>
    <col min="8" max="8" width="13.28515625" bestFit="1" customWidth="1"/>
    <col min="9" max="9" width="25.140625" bestFit="1" customWidth="1"/>
    <col min="14" max="14" width="14.28515625" customWidth="1"/>
  </cols>
  <sheetData>
    <row r="1" spans="1:14" x14ac:dyDescent="0.25">
      <c r="A1" s="4" t="s">
        <v>525</v>
      </c>
      <c r="B1" t="s">
        <v>528</v>
      </c>
    </row>
    <row r="2" spans="1:14" x14ac:dyDescent="0.25">
      <c r="A2" s="5" t="s">
        <v>65</v>
      </c>
      <c r="B2" s="1">
        <v>16</v>
      </c>
    </row>
    <row r="3" spans="1:14" x14ac:dyDescent="0.25">
      <c r="A3" s="5" t="s">
        <v>55</v>
      </c>
      <c r="B3" s="1">
        <v>15</v>
      </c>
      <c r="N3" s="5"/>
    </row>
    <row r="4" spans="1:14" x14ac:dyDescent="0.25">
      <c r="A4" s="5" t="s">
        <v>50</v>
      </c>
      <c r="B4" s="1">
        <v>17</v>
      </c>
      <c r="N4" s="5"/>
    </row>
    <row r="5" spans="1:14" x14ac:dyDescent="0.25">
      <c r="A5" s="5" t="s">
        <v>36</v>
      </c>
      <c r="B5" s="1">
        <v>17</v>
      </c>
      <c r="N5" s="5"/>
    </row>
    <row r="6" spans="1:14" x14ac:dyDescent="0.25">
      <c r="A6" s="5" t="s">
        <v>41</v>
      </c>
      <c r="B6" s="1">
        <v>13</v>
      </c>
      <c r="N6" s="5"/>
    </row>
    <row r="7" spans="1:14" x14ac:dyDescent="0.25">
      <c r="A7" s="5" t="s">
        <v>83</v>
      </c>
      <c r="B7" s="1">
        <v>8</v>
      </c>
      <c r="N7" s="5"/>
    </row>
    <row r="8" spans="1:14" x14ac:dyDescent="0.25">
      <c r="A8" s="5" t="s">
        <v>70</v>
      </c>
      <c r="B8" s="1">
        <v>7</v>
      </c>
      <c r="N8" s="5"/>
    </row>
    <row r="9" spans="1:14" x14ac:dyDescent="0.25">
      <c r="A9" s="5" t="s">
        <v>30</v>
      </c>
      <c r="B9" s="1">
        <v>16</v>
      </c>
      <c r="N9" s="5"/>
    </row>
    <row r="10" spans="1:14" x14ac:dyDescent="0.25">
      <c r="A10" s="5" t="s">
        <v>24</v>
      </c>
      <c r="B10" s="1">
        <v>27</v>
      </c>
      <c r="N10" s="5"/>
    </row>
    <row r="11" spans="1:14" x14ac:dyDescent="0.25">
      <c r="A11" s="5" t="s">
        <v>17</v>
      </c>
      <c r="B11" s="1">
        <v>14</v>
      </c>
      <c r="N11" s="5"/>
    </row>
    <row r="12" spans="1:14" x14ac:dyDescent="0.25">
      <c r="A12" s="5" t="s">
        <v>526</v>
      </c>
      <c r="B12" s="1">
        <v>150</v>
      </c>
      <c r="N12" s="5"/>
    </row>
    <row r="13" spans="1:14" x14ac:dyDescent="0.25">
      <c r="N13" s="5"/>
    </row>
    <row r="19" spans="1:2" x14ac:dyDescent="0.25">
      <c r="A19" s="4" t="s">
        <v>525</v>
      </c>
      <c r="B19" t="s">
        <v>527</v>
      </c>
    </row>
    <row r="20" spans="1:2" x14ac:dyDescent="0.25">
      <c r="A20" s="5" t="s">
        <v>65</v>
      </c>
      <c r="B20" s="3">
        <v>1.493561921296296E-2</v>
      </c>
    </row>
    <row r="21" spans="1:2" x14ac:dyDescent="0.25">
      <c r="A21" s="5" t="s">
        <v>55</v>
      </c>
      <c r="B21" s="3">
        <v>1.6556327160493829E-2</v>
      </c>
    </row>
    <row r="22" spans="1:2" x14ac:dyDescent="0.25">
      <c r="A22" s="5" t="s">
        <v>50</v>
      </c>
      <c r="B22" s="3">
        <v>1.2279411764705884E-2</v>
      </c>
    </row>
    <row r="23" spans="1:2" x14ac:dyDescent="0.25">
      <c r="A23" s="5" t="s">
        <v>36</v>
      </c>
      <c r="B23" s="3">
        <v>1.4567674291938996E-2</v>
      </c>
    </row>
    <row r="24" spans="1:2" x14ac:dyDescent="0.25">
      <c r="A24" s="5" t="s">
        <v>41</v>
      </c>
      <c r="B24" s="3">
        <v>1.2966524216524215E-2</v>
      </c>
    </row>
    <row r="25" spans="1:2" x14ac:dyDescent="0.25">
      <c r="A25" s="5" t="s">
        <v>83</v>
      </c>
      <c r="B25" s="3">
        <v>1.7377025462962964E-2</v>
      </c>
    </row>
    <row r="26" spans="1:2" x14ac:dyDescent="0.25">
      <c r="A26" s="5" t="s">
        <v>70</v>
      </c>
      <c r="B26" s="3">
        <v>8.936838624338625E-3</v>
      </c>
    </row>
    <row r="27" spans="1:2" x14ac:dyDescent="0.25">
      <c r="A27" s="5" t="s">
        <v>30</v>
      </c>
      <c r="B27" s="3">
        <v>7.8399884259259256E-3</v>
      </c>
    </row>
    <row r="28" spans="1:2" x14ac:dyDescent="0.25">
      <c r="A28" s="5" t="s">
        <v>24</v>
      </c>
      <c r="B28" s="3">
        <v>1.4379715363511665E-2</v>
      </c>
    </row>
    <row r="29" spans="1:2" x14ac:dyDescent="0.25">
      <c r="A29" s="5" t="s">
        <v>17</v>
      </c>
      <c r="B29" s="3">
        <v>1.134755291005291E-2</v>
      </c>
    </row>
    <row r="30" spans="1:2" x14ac:dyDescent="0.25">
      <c r="A30" s="5" t="s">
        <v>526</v>
      </c>
      <c r="B30" s="3">
        <v>1.3242746913580242E-2</v>
      </c>
    </row>
    <row r="35" spans="1:9" x14ac:dyDescent="0.25">
      <c r="A35" s="4" t="s">
        <v>530</v>
      </c>
      <c r="B35" s="4" t="s">
        <v>529</v>
      </c>
    </row>
    <row r="36" spans="1:9" x14ac:dyDescent="0.25">
      <c r="A36" s="4" t="s">
        <v>525</v>
      </c>
      <c r="B36" t="s">
        <v>176</v>
      </c>
      <c r="C36" t="s">
        <v>19</v>
      </c>
      <c r="D36" t="s">
        <v>45</v>
      </c>
      <c r="E36" t="s">
        <v>26</v>
      </c>
      <c r="F36" t="s">
        <v>526</v>
      </c>
      <c r="H36" s="4" t="s">
        <v>525</v>
      </c>
      <c r="I36" t="s">
        <v>527</v>
      </c>
    </row>
    <row r="37" spans="1:9" x14ac:dyDescent="0.25">
      <c r="A37" s="5" t="s">
        <v>65</v>
      </c>
      <c r="B37" s="1">
        <v>1</v>
      </c>
      <c r="C37" s="1">
        <v>3</v>
      </c>
      <c r="D37" s="1">
        <v>4</v>
      </c>
      <c r="E37" s="1">
        <v>8</v>
      </c>
      <c r="F37" s="1">
        <v>16</v>
      </c>
      <c r="H37" s="5" t="s">
        <v>176</v>
      </c>
      <c r="I37" s="3">
        <v>1.3793402777777779E-2</v>
      </c>
    </row>
    <row r="38" spans="1:9" x14ac:dyDescent="0.25">
      <c r="A38" s="5" t="s">
        <v>55</v>
      </c>
      <c r="B38" s="1">
        <v>1</v>
      </c>
      <c r="C38" s="1">
        <v>1</v>
      </c>
      <c r="D38" s="1">
        <v>10</v>
      </c>
      <c r="E38" s="1">
        <v>3</v>
      </c>
      <c r="F38" s="1">
        <v>15</v>
      </c>
      <c r="H38" s="5" t="s">
        <v>19</v>
      </c>
      <c r="I38" s="3">
        <v>9.2476851851851852E-3</v>
      </c>
    </row>
    <row r="39" spans="1:9" x14ac:dyDescent="0.25">
      <c r="A39" s="5" t="s">
        <v>50</v>
      </c>
      <c r="B39" s="1">
        <v>1</v>
      </c>
      <c r="C39" s="1">
        <v>3</v>
      </c>
      <c r="D39" s="1">
        <v>10</v>
      </c>
      <c r="E39" s="1">
        <v>3</v>
      </c>
      <c r="F39" s="1">
        <v>17</v>
      </c>
      <c r="H39" s="5" t="s">
        <v>45</v>
      </c>
      <c r="I39" s="3">
        <v>1.5622405810983399E-2</v>
      </c>
    </row>
    <row r="40" spans="1:9" x14ac:dyDescent="0.25">
      <c r="A40" s="5" t="s">
        <v>36</v>
      </c>
      <c r="B40" s="1">
        <v>1</v>
      </c>
      <c r="C40" s="1">
        <v>3</v>
      </c>
      <c r="D40" s="1">
        <v>7</v>
      </c>
      <c r="E40" s="1">
        <v>6</v>
      </c>
      <c r="F40" s="1">
        <v>17</v>
      </c>
      <c r="H40" s="5" t="s">
        <v>26</v>
      </c>
      <c r="I40" s="3">
        <v>1.2602329512051737E-2</v>
      </c>
    </row>
    <row r="41" spans="1:9" x14ac:dyDescent="0.25">
      <c r="A41" s="5" t="s">
        <v>41</v>
      </c>
      <c r="B41" s="1"/>
      <c r="C41" s="1">
        <v>2</v>
      </c>
      <c r="D41" s="1">
        <v>3</v>
      </c>
      <c r="E41" s="1">
        <v>8</v>
      </c>
      <c r="F41" s="1">
        <v>13</v>
      </c>
      <c r="H41" s="5" t="s">
        <v>526</v>
      </c>
      <c r="I41" s="3">
        <v>1.3242746913580246E-2</v>
      </c>
    </row>
    <row r="42" spans="1:9" x14ac:dyDescent="0.25">
      <c r="A42" s="5" t="s">
        <v>83</v>
      </c>
      <c r="B42" s="1"/>
      <c r="C42" s="1">
        <v>2</v>
      </c>
      <c r="D42" s="1">
        <v>4</v>
      </c>
      <c r="E42" s="1">
        <v>2</v>
      </c>
      <c r="F42" s="1">
        <v>8</v>
      </c>
    </row>
    <row r="43" spans="1:9" x14ac:dyDescent="0.25">
      <c r="A43" s="5" t="s">
        <v>70</v>
      </c>
      <c r="B43" s="1"/>
      <c r="C43" s="1">
        <v>2</v>
      </c>
      <c r="D43" s="1">
        <v>2</v>
      </c>
      <c r="E43" s="1">
        <v>3</v>
      </c>
      <c r="F43" s="1">
        <v>7</v>
      </c>
    </row>
    <row r="44" spans="1:9" x14ac:dyDescent="0.25">
      <c r="A44" s="5" t="s">
        <v>30</v>
      </c>
      <c r="B44" s="1"/>
      <c r="C44" s="1">
        <v>3</v>
      </c>
      <c r="D44" s="1">
        <v>6</v>
      </c>
      <c r="E44" s="1">
        <v>7</v>
      </c>
      <c r="F44" s="1">
        <v>16</v>
      </c>
    </row>
    <row r="45" spans="1:9" x14ac:dyDescent="0.25">
      <c r="A45" s="5" t="s">
        <v>24</v>
      </c>
      <c r="B45" s="1"/>
      <c r="C45" s="1">
        <v>5</v>
      </c>
      <c r="D45" s="1">
        <v>10</v>
      </c>
      <c r="E45" s="1">
        <v>12</v>
      </c>
      <c r="F45" s="1">
        <v>27</v>
      </c>
    </row>
    <row r="46" spans="1:9" x14ac:dyDescent="0.25">
      <c r="A46" s="5" t="s">
        <v>17</v>
      </c>
      <c r="B46" s="1"/>
      <c r="C46" s="1">
        <v>1</v>
      </c>
      <c r="D46" s="1">
        <v>2</v>
      </c>
      <c r="E46" s="1">
        <v>11</v>
      </c>
      <c r="F46" s="1">
        <v>14</v>
      </c>
    </row>
    <row r="47" spans="1:9" x14ac:dyDescent="0.25">
      <c r="A47" s="5" t="s">
        <v>526</v>
      </c>
      <c r="B47" s="1">
        <v>4</v>
      </c>
      <c r="C47" s="1">
        <v>25</v>
      </c>
      <c r="D47" s="1">
        <v>58</v>
      </c>
      <c r="E47" s="1">
        <v>63</v>
      </c>
      <c r="F47" s="1">
        <v>150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1" zoomScaleNormal="71" workbookViewId="0">
      <selection activeCell="Y4" sqref="Y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5314BD-1DA5-433C-B902-B746B7548A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Data</vt:lpstr>
      <vt:lpstr>Modified data</vt:lpstr>
      <vt:lpstr>Category based</vt:lpstr>
      <vt:lpstr>Analyst Based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PARIBABU</dc:creator>
  <cp:lastModifiedBy>PARIBABU</cp:lastModifiedBy>
  <dcterms:created xsi:type="dcterms:W3CDTF">2026-03-20T09:46:55Z</dcterms:created>
  <dcterms:modified xsi:type="dcterms:W3CDTF">2026-03-20T15:05:24Z</dcterms:modified>
</cp:coreProperties>
</file>