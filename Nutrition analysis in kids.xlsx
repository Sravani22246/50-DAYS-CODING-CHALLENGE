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ARIBABU\Desktop\"/>
    </mc:Choice>
  </mc:AlternateContent>
  <bookViews>
    <workbookView xWindow="0" yWindow="0" windowWidth="20235" windowHeight="7590" firstSheet="1" activeTab="1"/>
  </bookViews>
  <sheets>
    <sheet name="Sheet1" sheetId="1" r:id="rId1"/>
    <sheet name="Data Validation" sheetId="3" r:id="rId2"/>
    <sheet name="Modified Data" sheetId="6" r:id="rId3"/>
    <sheet name="Pivot Tables" sheetId="7" state="hidden" r:id="rId4"/>
    <sheet name="Dash Board" sheetId="9" r:id="rId5"/>
  </sheets>
  <definedNames>
    <definedName name="ExternalData_1" localSheetId="1" hidden="1">'Data Validation'!$A$1:$M$101</definedName>
    <definedName name="ExternalData_1" localSheetId="2" hidden="1">'Modified Data'!$A$1:$M$101</definedName>
    <definedName name="Slicer_BMI_Index">#N/A</definedName>
    <definedName name="Slicer_Gender">#N/A</definedName>
    <definedName name="Slicer_Region">#N/A</definedName>
  </definedNames>
  <calcPr calcId="162913"/>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heet2 (2)" description="Connection to the 'Sheet2 (2)' query in the workbook." type="5" refreshedVersion="6" background="1" saveData="1">
    <dbPr connection="Provider=Microsoft.Mashup.OleDb.1;Data Source=$Workbook$;Location=&quot;Sheet2 (2)&quot;;Extended Properties=&quot;&quot;" command="SELECT * FROM [Sheet2 (2)]"/>
  </connection>
  <connection id="2" keepAlive="1" name="Query - Sheet2 (3)" description="Connection to the 'Sheet2 (3)' query in the workbook." type="5" refreshedVersion="6" background="1" saveData="1">
    <dbPr connection="Provider=Microsoft.Mashup.OleDb.1;Data Source=$Workbook$;Location=Sheet2 (3);Extended Properties=&quot;&quot;" command="SELECT * FROM [Sheet2 (3)]"/>
  </connection>
</connections>
</file>

<file path=xl/sharedStrings.xml><?xml version="1.0" encoding="utf-8"?>
<sst xmlns="http://schemas.openxmlformats.org/spreadsheetml/2006/main" count="1086" uniqueCount="140">
  <si>
    <t>ChildID</t>
  </si>
  <si>
    <t>Age_Months</t>
  </si>
  <si>
    <t>Gender</t>
  </si>
  <si>
    <t>Height_cm</t>
  </si>
  <si>
    <t>Weight_kg</t>
  </si>
  <si>
    <t>Daily_Fruit_Servings</t>
  </si>
  <si>
    <t>Daily_Veggie_Servings</t>
  </si>
  <si>
    <t>Daily_Sugar_Drinks</t>
  </si>
  <si>
    <t>ScreenTime_Hours</t>
  </si>
  <si>
    <t>Region</t>
  </si>
  <si>
    <t>BMI</t>
  </si>
  <si>
    <t>BMI Index</t>
  </si>
  <si>
    <t>Age Group</t>
  </si>
  <si>
    <t>C001</t>
  </si>
  <si>
    <t>Female</t>
  </si>
  <si>
    <t>South</t>
  </si>
  <si>
    <t>Under Weight</t>
  </si>
  <si>
    <t>Kids</t>
  </si>
  <si>
    <t>C002</t>
  </si>
  <si>
    <t>Central</t>
  </si>
  <si>
    <t>toddlers</t>
  </si>
  <si>
    <t>C003</t>
  </si>
  <si>
    <t>Helthy weight</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</si>
  <si>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</si>
  <si>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</si>
  <si>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</si>
  <si>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</si>
  <si>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</si>
  <si>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</si>
  <si>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</si>
  <si>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</si>
  <si>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</si>
  <si>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</si>
  <si>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</si>
  <si>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</si>
  <si>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</si>
  <si>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</si>
  <si>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</si>
  <si>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</si>
  <si>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</si>
  <si>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</si>
  <si>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</si>
  <si>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</si>
  <si>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</si>
  <si>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</si>
  <si>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</si>
  <si>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</si>
  <si>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</si>
  <si>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</si>
  <si>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</si>
  <si>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</si>
  <si>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</si>
  <si>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</si>
  <si>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</si>
  <si>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</si>
  <si>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</si>
  <si>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</si>
  <si>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</si>
  <si>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</si>
  <si>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</si>
  <si>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</si>
  <si>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</si>
  <si>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</si>
  <si>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</si>
  <si>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</si>
  <si>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</si>
  <si>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</si>
  <si>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</si>
  <si>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</si>
  <si>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</si>
  <si>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</si>
  <si>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</si>
  <si>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</si>
  <si>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</si>
  <si>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</si>
  <si>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</si>
  <si>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</si>
  <si>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</si>
  <si>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</si>
  <si>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</si>
  <si>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</si>
  <si>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</si>
  <si>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</si>
  <si>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</si>
  <si>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</si>
  <si>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</si>
  <si>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</si>
  <si>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</si>
  <si>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</si>
  <si>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</si>
  <si>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</si>
  <si>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</si>
  <si>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</si>
  <si>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</si>
  <si>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</si>
  <si>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</si>
  <si>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</si>
  <si>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</si>
  <si>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</si>
  <si>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</si>
  <si>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</si>
  <si>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</si>
  <si>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</si>
  <si>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</si>
  <si>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</si>
  <si>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</si>
  <si>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</si>
  <si>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</si>
  <si>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</si>
  <si>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</si>
  <si>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</si>
  <si>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</si>
  <si>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</si>
  <si>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</si>
  <si>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</si>
  <si>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</si>
  <si>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</si>
  <si>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</si>
  <si>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</si>
  <si>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</si>
  <si>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</si>
  <si>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</si>
  <si>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</si>
  <si>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</si>
  <si>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Toddlers</t>
  </si>
  <si>
    <t>Babies</t>
  </si>
  <si>
    <t>Row Labels</t>
  </si>
  <si>
    <t>Grand Total</t>
  </si>
  <si>
    <t>Column Labels</t>
  </si>
  <si>
    <t>Count of BMI Index</t>
  </si>
  <si>
    <t>Average of BMI</t>
  </si>
  <si>
    <t>Average of ScreenTime_Hours</t>
  </si>
  <si>
    <t>Average of Daily_Fruit_Servings</t>
  </si>
  <si>
    <t>Average of Daily_Veggie_Servings</t>
  </si>
  <si>
    <t>Average of Weight_kg</t>
  </si>
  <si>
    <t>Average of Height_cm</t>
  </si>
  <si>
    <t>Average of Daily_Sugar_Drinks</t>
  </si>
  <si>
    <t>Healthy weight</t>
  </si>
  <si>
    <t>Focus Region</t>
  </si>
  <si>
    <t>Focus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</si>
</sst>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0000"/>
      <color rgb="FF9900CC"/>
      <color rgb="FF000066"/>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Tables!PivotTable2</c:name>
    <c:fmtId val="2"/>
  </c:pivotSource>
  <c:chart>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solidFill>
            <a:schemeClr val="accent2"/>
          </a:solidFill>
          <a:ln>
            <a:noFill/>
          </a:ln>
          <a:effectLst>
            <a:outerShdw blurRad="57150" dist="19050" dir="5400000" algn="ctr" rotWithShape="0">
              <a:srgbClr val="000000">
                <a:alpha val="63000"/>
              </a:srgbClr>
            </a:outerShdw>
          </a:effectLst>
        </c:spPr>
        <c:marker>
          <c:symbol val="none"/>
        </c:marker>
      </c:pivotFmt>
      <c:pivotFmt>
        <c:idx val="10"/>
        <c:spPr>
          <a:solidFill>
            <a:srgbClr val="92D050"/>
          </a:soli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5.2777777777777778E-2"/>
          <c:y val="0.2572178477690289"/>
          <c:w val="0.72038363954505691"/>
          <c:h val="0.56695902595508896"/>
        </c:manualLayout>
      </c:layout>
      <c:barChart>
        <c:barDir val="col"/>
        <c:grouping val="clustered"/>
        <c:varyColors val="0"/>
        <c:ser>
          <c:idx val="0"/>
          <c:order val="0"/>
          <c:tx>
            <c:strRef>
              <c:f>'Pivot Tables'!$B$3:$B$4</c:f>
              <c:strCache>
                <c:ptCount val="1"/>
                <c:pt idx="0">
                  <c:v>Under Weight</c:v>
                </c:pt>
              </c:strCache>
            </c:strRef>
          </c:tx>
          <c:spPr>
            <a:solidFill>
              <a:schemeClr val="accent2"/>
            </a:solidFill>
            <a:ln>
              <a:noFill/>
            </a:ln>
            <a:effectLst>
              <a:outerShdw blurRad="57150" dist="19050" dir="5400000" algn="ctr" rotWithShape="0">
                <a:srgbClr val="000000">
                  <a:alpha val="63000"/>
                </a:srgbClr>
              </a:outerShdw>
            </a:effectLst>
          </c:spPr>
          <c:invertIfNegative val="0"/>
          <c:dLbls>
            <c:delete val="1"/>
          </c:dLbls>
          <c:cat>
            <c:strRef>
              <c:f>'Pivot Tables'!$A$5:$A$8</c:f>
              <c:strCache>
                <c:ptCount val="3"/>
                <c:pt idx="0">
                  <c:v>Babies</c:v>
                </c:pt>
                <c:pt idx="1">
                  <c:v>Kids</c:v>
                </c:pt>
                <c:pt idx="2">
                  <c:v>Toddlers</c:v>
                </c:pt>
              </c:strCache>
            </c:strRef>
          </c:cat>
          <c:val>
            <c:numRef>
              <c:f>'Pivot Tables'!$B$5:$B$8</c:f>
              <c:numCache>
                <c:formatCode>General</c:formatCode>
                <c:ptCount val="3"/>
                <c:pt idx="0">
                  <c:v>33</c:v>
                </c:pt>
                <c:pt idx="1">
                  <c:v>21</c:v>
                </c:pt>
                <c:pt idx="2">
                  <c:v>22</c:v>
                </c:pt>
              </c:numCache>
            </c:numRef>
          </c:val>
          <c:extLst>
            <c:ext xmlns:c16="http://schemas.microsoft.com/office/drawing/2014/chart" uri="{C3380CC4-5D6E-409C-BE32-E72D297353CC}">
              <c16:uniqueId val="{00000000-2376-4B0E-8CBD-3E1E4ECB2FC9}"/>
            </c:ext>
          </c:extLst>
        </c:ser>
        <c:ser>
          <c:idx val="1"/>
          <c:order val="1"/>
          <c:tx>
            <c:strRef>
              <c:f>'Pivot Tables'!$C$3:$C$4</c:f>
              <c:strCache>
                <c:ptCount val="1"/>
                <c:pt idx="0">
                  <c:v>Healthy weight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Tables'!$A$5:$A$8</c:f>
              <c:strCache>
                <c:ptCount val="3"/>
                <c:pt idx="0">
                  <c:v>Babies</c:v>
                </c:pt>
                <c:pt idx="1">
                  <c:v>Kids</c:v>
                </c:pt>
                <c:pt idx="2">
                  <c:v>Toddlers</c:v>
                </c:pt>
              </c:strCache>
            </c:strRef>
          </c:cat>
          <c:val>
            <c:numRef>
              <c:f>'Pivot Tables'!$C$5:$C$8</c:f>
              <c:numCache>
                <c:formatCode>General</c:formatCode>
                <c:ptCount val="3"/>
                <c:pt idx="0">
                  <c:v>6</c:v>
                </c:pt>
                <c:pt idx="1">
                  <c:v>10</c:v>
                </c:pt>
                <c:pt idx="2">
                  <c:v>8</c:v>
                </c:pt>
              </c:numCache>
            </c:numRef>
          </c:val>
          <c:extLst>
            <c:ext xmlns:c16="http://schemas.microsoft.com/office/drawing/2014/chart" uri="{C3380CC4-5D6E-409C-BE32-E72D297353CC}">
              <c16:uniqueId val="{00000001-7A14-4138-8F7C-284F20CF3DF1}"/>
            </c:ext>
          </c:extLst>
        </c:ser>
        <c:dLbls>
          <c:dLblPos val="inEnd"/>
          <c:showLegendKey val="0"/>
          <c:showVal val="1"/>
          <c:showCatName val="0"/>
          <c:showSerName val="0"/>
          <c:showPercent val="0"/>
          <c:showBubbleSize val="0"/>
        </c:dLbls>
        <c:gapWidth val="100"/>
        <c:overlap val="-24"/>
        <c:axId val="1538526751"/>
        <c:axId val="1538527583"/>
      </c:barChart>
      <c:catAx>
        <c:axId val="1538526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527583"/>
        <c:crosses val="autoZero"/>
        <c:auto val="1"/>
        <c:lblAlgn val="ctr"/>
        <c:lblOffset val="100"/>
        <c:noMultiLvlLbl val="0"/>
      </c:catAx>
      <c:valAx>
        <c:axId val="15385275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526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Tables!PivotTable5</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manualLayout>
          <c:layoutTarget val="inner"/>
          <c:xMode val="edge"/>
          <c:yMode val="edge"/>
          <c:x val="0.12999756561733034"/>
          <c:y val="0.19240303295421404"/>
          <c:w val="0.59120525126744283"/>
          <c:h val="0.65853091280256637"/>
        </c:manualLayout>
      </c:layout>
      <c:barChart>
        <c:barDir val="col"/>
        <c:grouping val="clustered"/>
        <c:varyColors val="0"/>
        <c:ser>
          <c:idx val="0"/>
          <c:order val="0"/>
          <c:tx>
            <c:strRef>
              <c:f>'Pivot Tables'!$B$27</c:f>
              <c:strCache>
                <c:ptCount val="1"/>
                <c:pt idx="0">
                  <c:v>Average of Daily_Veggie_Servings</c:v>
                </c:pt>
              </c:strCache>
            </c:strRef>
          </c:tx>
          <c:spPr>
            <a:solidFill>
              <a:schemeClr val="accent1"/>
            </a:solidFill>
            <a:ln>
              <a:noFill/>
            </a:ln>
            <a:effectLst/>
          </c:spPr>
          <c:invertIfNegative val="0"/>
          <c:cat>
            <c:strRef>
              <c:f>'Pivot Tables'!$A$28:$A$31</c:f>
              <c:strCache>
                <c:ptCount val="3"/>
                <c:pt idx="0">
                  <c:v>Babies</c:v>
                </c:pt>
                <c:pt idx="1">
                  <c:v>Kids</c:v>
                </c:pt>
                <c:pt idx="2">
                  <c:v>Toddlers</c:v>
                </c:pt>
              </c:strCache>
            </c:strRef>
          </c:cat>
          <c:val>
            <c:numRef>
              <c:f>'Pivot Tables'!$B$28:$B$31</c:f>
              <c:numCache>
                <c:formatCode>0.00</c:formatCode>
                <c:ptCount val="3"/>
                <c:pt idx="0">
                  <c:v>1.9230769230769231</c:v>
                </c:pt>
                <c:pt idx="1">
                  <c:v>1.7096774193548387</c:v>
                </c:pt>
                <c:pt idx="2">
                  <c:v>2.0666666666666669</c:v>
                </c:pt>
              </c:numCache>
            </c:numRef>
          </c:val>
          <c:extLst>
            <c:ext xmlns:c16="http://schemas.microsoft.com/office/drawing/2014/chart" uri="{C3380CC4-5D6E-409C-BE32-E72D297353CC}">
              <c16:uniqueId val="{00000000-D672-40CA-9B55-B8D05814ACDE}"/>
            </c:ext>
          </c:extLst>
        </c:ser>
        <c:ser>
          <c:idx val="1"/>
          <c:order val="1"/>
          <c:tx>
            <c:strRef>
              <c:f>'Pivot Tables'!$C$27</c:f>
              <c:strCache>
                <c:ptCount val="1"/>
                <c:pt idx="0">
                  <c:v>Average of Daily_Fruit_Servings</c:v>
                </c:pt>
              </c:strCache>
            </c:strRef>
          </c:tx>
          <c:spPr>
            <a:solidFill>
              <a:schemeClr val="accent2"/>
            </a:solidFill>
            <a:ln>
              <a:noFill/>
            </a:ln>
            <a:effectLst/>
          </c:spPr>
          <c:invertIfNegative val="0"/>
          <c:cat>
            <c:strRef>
              <c:f>'Pivot Tables'!$A$28:$A$31</c:f>
              <c:strCache>
                <c:ptCount val="3"/>
                <c:pt idx="0">
                  <c:v>Babies</c:v>
                </c:pt>
                <c:pt idx="1">
                  <c:v>Kids</c:v>
                </c:pt>
                <c:pt idx="2">
                  <c:v>Toddlers</c:v>
                </c:pt>
              </c:strCache>
            </c:strRef>
          </c:cat>
          <c:val>
            <c:numRef>
              <c:f>'Pivot Tables'!$C$28:$C$31</c:f>
              <c:numCache>
                <c:formatCode>0.00</c:formatCode>
                <c:ptCount val="3"/>
                <c:pt idx="0">
                  <c:v>2.5384615384615383</c:v>
                </c:pt>
                <c:pt idx="1">
                  <c:v>1.935483870967742</c:v>
                </c:pt>
                <c:pt idx="2">
                  <c:v>2</c:v>
                </c:pt>
              </c:numCache>
            </c:numRef>
          </c:val>
          <c:extLst>
            <c:ext xmlns:c16="http://schemas.microsoft.com/office/drawing/2014/chart" uri="{C3380CC4-5D6E-409C-BE32-E72D297353CC}">
              <c16:uniqueId val="{00000001-D672-40CA-9B55-B8D05814ACDE}"/>
            </c:ext>
          </c:extLst>
        </c:ser>
        <c:dLbls>
          <c:showLegendKey val="0"/>
          <c:showVal val="0"/>
          <c:showCatName val="0"/>
          <c:showSerName val="0"/>
          <c:showPercent val="0"/>
          <c:showBubbleSize val="0"/>
        </c:dLbls>
        <c:gapWidth val="150"/>
        <c:axId val="1548382575"/>
        <c:axId val="1548383823"/>
      </c:barChart>
      <c:catAx>
        <c:axId val="154838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83823"/>
        <c:crosses val="autoZero"/>
        <c:auto val="1"/>
        <c:lblAlgn val="ctr"/>
        <c:lblOffset val="100"/>
        <c:noMultiLvlLbl val="0"/>
      </c:catAx>
      <c:valAx>
        <c:axId val="1548383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825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Tables!PivotTable5</c:name>
    <c:fmtId val="4"/>
  </c:pivotSource>
  <c:chart>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Tables'!$B$27</c:f>
              <c:strCache>
                <c:ptCount val="1"/>
                <c:pt idx="0">
                  <c:v>Average of Daily_Veggie_Servings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Tables'!$A$28:$A$31</c:f>
              <c:strCache>
                <c:ptCount val="3"/>
                <c:pt idx="0">
                  <c:v>Babies</c:v>
                </c:pt>
                <c:pt idx="1">
                  <c:v>Kids</c:v>
                </c:pt>
                <c:pt idx="2">
                  <c:v>Toddlers</c:v>
                </c:pt>
              </c:strCache>
            </c:strRef>
          </c:cat>
          <c:val>
            <c:numRef>
              <c:f>'Pivot Tables'!$B$28:$B$31</c:f>
              <c:numCache>
                <c:formatCode>0.00</c:formatCode>
                <c:ptCount val="3"/>
                <c:pt idx="0">
                  <c:v>1.9230769230769231</c:v>
                </c:pt>
                <c:pt idx="1">
                  <c:v>1.7096774193548387</c:v>
                </c:pt>
                <c:pt idx="2">
                  <c:v>2.0666666666666669</c:v>
                </c:pt>
              </c:numCache>
            </c:numRef>
          </c:val>
          <c:extLst>
            <c:ext xmlns:c16="http://schemas.microsoft.com/office/drawing/2014/chart" uri="{C3380CC4-5D6E-409C-BE32-E72D297353CC}">
              <c16:uniqueId val="{00000000-8426-4FAB-A7AA-3FC0C544B3B3}"/>
            </c:ext>
          </c:extLst>
        </c:ser>
        <c:dLbls>
          <c:showLegendKey val="0"/>
          <c:showVal val="0"/>
          <c:showCatName val="0"/>
          <c:showSerName val="0"/>
          <c:showPercent val="0"/>
          <c:showBubbleSize val="0"/>
        </c:dLbls>
        <c:gapWidth val="150"/>
        <c:axId val="1548382991"/>
        <c:axId val="1548386735"/>
      </c:barChart>
      <c:lineChart>
        <c:grouping val="standard"/>
        <c:varyColors val="0"/>
        <c:ser>
          <c:idx val="1"/>
          <c:order val="1"/>
          <c:tx>
            <c:strRef>
              <c:f>'Pivot Tables'!$C$27</c:f>
              <c:strCache>
                <c:ptCount val="1"/>
                <c:pt idx="0">
                  <c:v>Average of Daily_Fruit_Servings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Tables'!$A$28:$A$31</c:f>
              <c:strCache>
                <c:ptCount val="3"/>
                <c:pt idx="0">
                  <c:v>Babies</c:v>
                </c:pt>
                <c:pt idx="1">
                  <c:v>Kids</c:v>
                </c:pt>
                <c:pt idx="2">
                  <c:v>Toddlers</c:v>
                </c:pt>
              </c:strCache>
            </c:strRef>
          </c:cat>
          <c:val>
            <c:numRef>
              <c:f>'Pivot Tables'!$C$28:$C$31</c:f>
              <c:numCache>
                <c:formatCode>0.00</c:formatCode>
                <c:ptCount val="3"/>
                <c:pt idx="0">
                  <c:v>2.5384615384615383</c:v>
                </c:pt>
                <c:pt idx="1">
                  <c:v>1.935483870967742</c:v>
                </c:pt>
                <c:pt idx="2">
                  <c:v>2</c:v>
                </c:pt>
              </c:numCache>
            </c:numRef>
          </c:val>
          <c:smooth val="0"/>
          <c:extLst>
            <c:ext xmlns:c16="http://schemas.microsoft.com/office/drawing/2014/chart" uri="{C3380CC4-5D6E-409C-BE32-E72D297353CC}">
              <c16:uniqueId val="{00000001-8426-4FAB-A7AA-3FC0C544B3B3}"/>
            </c:ext>
          </c:extLst>
        </c:ser>
        <c:dLbls>
          <c:showLegendKey val="0"/>
          <c:showVal val="0"/>
          <c:showCatName val="0"/>
          <c:showSerName val="0"/>
          <c:showPercent val="0"/>
          <c:showBubbleSize val="0"/>
        </c:dLbls>
        <c:marker val="1"/>
        <c:smooth val="0"/>
        <c:axId val="1548382991"/>
        <c:axId val="1548386735"/>
      </c:lineChart>
      <c:catAx>
        <c:axId val="15483829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86735"/>
        <c:crosses val="autoZero"/>
        <c:auto val="1"/>
        <c:lblAlgn val="ctr"/>
        <c:lblOffset val="100"/>
        <c:noMultiLvlLbl val="0"/>
      </c:catAx>
      <c:valAx>
        <c:axId val="154838673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8382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Tables!PivotTable6</c:name>
    <c:fmtId val="4"/>
  </c:pivotSource>
  <c:chart>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Tables'!$B$34</c:f>
              <c:strCache>
                <c:ptCount val="1"/>
                <c:pt idx="0">
                  <c:v>Average of Daily_Sugar_Drinks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Tables'!$A$35:$A$37</c:f>
              <c:strCache>
                <c:ptCount val="3"/>
                <c:pt idx="0">
                  <c:v>Babies</c:v>
                </c:pt>
                <c:pt idx="1">
                  <c:v>Kids</c:v>
                </c:pt>
                <c:pt idx="2">
                  <c:v>Toddlers</c:v>
                </c:pt>
              </c:strCache>
            </c:strRef>
          </c:cat>
          <c:val>
            <c:numRef>
              <c:f>'Pivot Tables'!$B$35:$B$37</c:f>
              <c:numCache>
                <c:formatCode>0.00</c:formatCode>
                <c:ptCount val="3"/>
                <c:pt idx="0">
                  <c:v>1.6153846153846154</c:v>
                </c:pt>
                <c:pt idx="1">
                  <c:v>1.1290322580645162</c:v>
                </c:pt>
                <c:pt idx="2">
                  <c:v>1.3</c:v>
                </c:pt>
              </c:numCache>
            </c:numRef>
          </c:val>
          <c:extLst>
            <c:ext xmlns:c16="http://schemas.microsoft.com/office/drawing/2014/chart" uri="{C3380CC4-5D6E-409C-BE32-E72D297353CC}">
              <c16:uniqueId val="{00000000-C6F7-48A7-B06F-15E9FF010DBF}"/>
            </c:ext>
          </c:extLst>
        </c:ser>
        <c:dLbls>
          <c:showLegendKey val="0"/>
          <c:showVal val="0"/>
          <c:showCatName val="0"/>
          <c:showSerName val="0"/>
          <c:showPercent val="0"/>
          <c:showBubbleSize val="0"/>
        </c:dLbls>
        <c:gapWidth val="150"/>
        <c:axId val="1401852735"/>
        <c:axId val="1401856895"/>
      </c:barChart>
      <c:lineChart>
        <c:grouping val="standard"/>
        <c:varyColors val="0"/>
        <c:ser>
          <c:idx val="1"/>
          <c:order val="1"/>
          <c:tx>
            <c:strRef>
              <c:f>'Pivot Tables'!$C$34</c:f>
              <c:strCache>
                <c:ptCount val="1"/>
                <c:pt idx="0">
                  <c:v>Average of ScreenTime_Hours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Tables'!$A$35:$A$37</c:f>
              <c:strCache>
                <c:ptCount val="3"/>
                <c:pt idx="0">
                  <c:v>Babies</c:v>
                </c:pt>
                <c:pt idx="1">
                  <c:v>Kids</c:v>
                </c:pt>
                <c:pt idx="2">
                  <c:v>Toddlers</c:v>
                </c:pt>
              </c:strCache>
            </c:strRef>
          </c:cat>
          <c:val>
            <c:numRef>
              <c:f>'Pivot Tables'!$C$35:$C$37</c:f>
              <c:numCache>
                <c:formatCode>0.00</c:formatCode>
                <c:ptCount val="3"/>
                <c:pt idx="0">
                  <c:v>1.4358974358974359</c:v>
                </c:pt>
                <c:pt idx="1">
                  <c:v>1.3419354838709681</c:v>
                </c:pt>
                <c:pt idx="2">
                  <c:v>1.3866666666666667</c:v>
                </c:pt>
              </c:numCache>
            </c:numRef>
          </c:val>
          <c:smooth val="0"/>
          <c:extLst>
            <c:ext xmlns:c16="http://schemas.microsoft.com/office/drawing/2014/chart" uri="{C3380CC4-5D6E-409C-BE32-E72D297353CC}">
              <c16:uniqueId val="{00000001-C6F7-48A7-B06F-15E9FF010DBF}"/>
            </c:ext>
          </c:extLst>
        </c:ser>
        <c:dLbls>
          <c:showLegendKey val="0"/>
          <c:showVal val="0"/>
          <c:showCatName val="0"/>
          <c:showSerName val="0"/>
          <c:showPercent val="0"/>
          <c:showBubbleSize val="0"/>
        </c:dLbls>
        <c:marker val="1"/>
        <c:smooth val="0"/>
        <c:axId val="1543481327"/>
        <c:axId val="1543494639"/>
      </c:lineChart>
      <c:catAx>
        <c:axId val="1401852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856895"/>
        <c:crosses val="autoZero"/>
        <c:auto val="1"/>
        <c:lblAlgn val="ctr"/>
        <c:lblOffset val="100"/>
        <c:noMultiLvlLbl val="0"/>
      </c:catAx>
      <c:valAx>
        <c:axId val="14018568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1852735"/>
        <c:crosses val="autoZero"/>
        <c:crossBetween val="between"/>
      </c:valAx>
      <c:valAx>
        <c:axId val="154349463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481327"/>
        <c:crosses val="max"/>
        <c:crossBetween val="between"/>
      </c:valAx>
      <c:catAx>
        <c:axId val="1543481327"/>
        <c:scaling>
          <c:orientation val="minMax"/>
        </c:scaling>
        <c:delete val="1"/>
        <c:axPos val="b"/>
        <c:numFmt formatCode="General" sourceLinked="1"/>
        <c:majorTickMark val="none"/>
        <c:minorTickMark val="none"/>
        <c:tickLblPos val="nextTo"/>
        <c:crossAx val="154349463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Tables!PivotTable8</c:name>
    <c:fmtId val="1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Tables'!$B$43:$B$45</c:f>
              <c:strCache>
                <c:ptCount val="1"/>
                <c:pt idx="0">
                  <c:v>Average of Height_cm - Healthy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Tables'!$A$46:$A$49</c:f>
              <c:strCache>
                <c:ptCount val="3"/>
                <c:pt idx="0">
                  <c:v>Babies</c:v>
                </c:pt>
                <c:pt idx="1">
                  <c:v>Kids</c:v>
                </c:pt>
                <c:pt idx="2">
                  <c:v>Toddlers</c:v>
                </c:pt>
              </c:strCache>
            </c:strRef>
          </c:cat>
          <c:val>
            <c:numRef>
              <c:f>'Pivot Tables'!$B$46:$B$49</c:f>
              <c:numCache>
                <c:formatCode>0.00</c:formatCode>
                <c:ptCount val="3"/>
                <c:pt idx="0">
                  <c:v>95.12</c:v>
                </c:pt>
                <c:pt idx="1">
                  <c:v>107.28399999999999</c:v>
                </c:pt>
                <c:pt idx="2">
                  <c:v>101.72999999999999</c:v>
                </c:pt>
              </c:numCache>
            </c:numRef>
          </c:val>
          <c:extLst>
            <c:ext xmlns:c16="http://schemas.microsoft.com/office/drawing/2014/chart" uri="{C3380CC4-5D6E-409C-BE32-E72D297353CC}">
              <c16:uniqueId val="{00000000-0EAA-4472-8F6E-FAF17CDE36D5}"/>
            </c:ext>
          </c:extLst>
        </c:ser>
        <c:ser>
          <c:idx val="1"/>
          <c:order val="1"/>
          <c:tx>
            <c:strRef>
              <c:f>'Pivot Tables'!$C$43:$C$45</c:f>
              <c:strCache>
                <c:ptCount val="1"/>
                <c:pt idx="0">
                  <c:v>Average of Height_cm - Under Weight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Tables'!$A$46:$A$49</c:f>
              <c:strCache>
                <c:ptCount val="3"/>
                <c:pt idx="0">
                  <c:v>Babies</c:v>
                </c:pt>
                <c:pt idx="1">
                  <c:v>Kids</c:v>
                </c:pt>
                <c:pt idx="2">
                  <c:v>Toddlers</c:v>
                </c:pt>
              </c:strCache>
            </c:strRef>
          </c:cat>
          <c:val>
            <c:numRef>
              <c:f>'Pivot Tables'!$C$46:$C$49</c:f>
              <c:numCache>
                <c:formatCode>0.00</c:formatCode>
                <c:ptCount val="3"/>
                <c:pt idx="0">
                  <c:v>97.544848484848472</c:v>
                </c:pt>
                <c:pt idx="1">
                  <c:v>110.67761904761903</c:v>
                </c:pt>
                <c:pt idx="2">
                  <c:v>105.22272727272725</c:v>
                </c:pt>
              </c:numCache>
            </c:numRef>
          </c:val>
          <c:extLst>
            <c:ext xmlns:c16="http://schemas.microsoft.com/office/drawing/2014/chart" uri="{C3380CC4-5D6E-409C-BE32-E72D297353CC}">
              <c16:uniqueId val="{00000001-0EAA-4472-8F6E-FAF17CDE36D5}"/>
            </c:ext>
          </c:extLst>
        </c:ser>
        <c:ser>
          <c:idx val="2"/>
          <c:order val="2"/>
          <c:tx>
            <c:strRef>
              <c:f>'Pivot Tables'!$D$43:$D$45</c:f>
              <c:strCache>
                <c:ptCount val="1"/>
                <c:pt idx="0">
                  <c:v>Average of Weight_kg - Healthy 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Tables'!$A$46:$A$49</c:f>
              <c:strCache>
                <c:ptCount val="3"/>
                <c:pt idx="0">
                  <c:v>Babies</c:v>
                </c:pt>
                <c:pt idx="1">
                  <c:v>Kids</c:v>
                </c:pt>
                <c:pt idx="2">
                  <c:v>Toddlers</c:v>
                </c:pt>
              </c:strCache>
            </c:strRef>
          </c:cat>
          <c:val>
            <c:numRef>
              <c:f>'Pivot Tables'!$D$46:$D$49</c:f>
              <c:numCache>
                <c:formatCode>0.00</c:formatCode>
                <c:ptCount val="3"/>
                <c:pt idx="0">
                  <c:v>17.385000000000002</c:v>
                </c:pt>
                <c:pt idx="1">
                  <c:v>22.637</c:v>
                </c:pt>
                <c:pt idx="2">
                  <c:v>20.605</c:v>
                </c:pt>
              </c:numCache>
            </c:numRef>
          </c:val>
          <c:extLst>
            <c:ext xmlns:c16="http://schemas.microsoft.com/office/drawing/2014/chart" uri="{C3380CC4-5D6E-409C-BE32-E72D297353CC}">
              <c16:uniqueId val="{00000002-6583-4A7D-8753-7ED0418265C0}"/>
            </c:ext>
          </c:extLst>
        </c:ser>
        <c:ser>
          <c:idx val="3"/>
          <c:order val="3"/>
          <c:tx>
            <c:strRef>
              <c:f>'Pivot Tables'!$E$43:$E$45</c:f>
              <c:strCache>
                <c:ptCount val="1"/>
                <c:pt idx="0">
                  <c:v>Average of Weight_kg - Under Weight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Tables'!$A$46:$A$49</c:f>
              <c:strCache>
                <c:ptCount val="3"/>
                <c:pt idx="0">
                  <c:v>Babies</c:v>
                </c:pt>
                <c:pt idx="1">
                  <c:v>Kids</c:v>
                </c:pt>
                <c:pt idx="2">
                  <c:v>Toddlers</c:v>
                </c:pt>
              </c:strCache>
            </c:strRef>
          </c:cat>
          <c:val>
            <c:numRef>
              <c:f>'Pivot Tables'!$E$46:$E$49</c:f>
              <c:numCache>
                <c:formatCode>0.00</c:formatCode>
                <c:ptCount val="3"/>
                <c:pt idx="0">
                  <c:v>15.049090909090905</c:v>
                </c:pt>
                <c:pt idx="1">
                  <c:v>20.282380952380954</c:v>
                </c:pt>
                <c:pt idx="2">
                  <c:v>18.253181818181815</c:v>
                </c:pt>
              </c:numCache>
            </c:numRef>
          </c:val>
          <c:extLst>
            <c:ext xmlns:c16="http://schemas.microsoft.com/office/drawing/2014/chart" uri="{C3380CC4-5D6E-409C-BE32-E72D297353CC}">
              <c16:uniqueId val="{00000003-6583-4A7D-8753-7ED0418265C0}"/>
            </c:ext>
          </c:extLst>
        </c:ser>
        <c:dLbls>
          <c:showLegendKey val="0"/>
          <c:showVal val="0"/>
          <c:showCatName val="0"/>
          <c:showSerName val="0"/>
          <c:showPercent val="0"/>
          <c:showBubbleSize val="0"/>
        </c:dLbls>
        <c:gapWidth val="150"/>
        <c:axId val="1543480079"/>
        <c:axId val="1543482991"/>
      </c:barChart>
      <c:catAx>
        <c:axId val="1543480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482991"/>
        <c:crosses val="autoZero"/>
        <c:auto val="1"/>
        <c:lblAlgn val="ctr"/>
        <c:lblOffset val="100"/>
        <c:noMultiLvlLbl val="0"/>
      </c:catAx>
      <c:valAx>
        <c:axId val="1543482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480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Tables!PivotTable10</c:name>
    <c:fmtId val="8"/>
  </c:pivotSource>
  <c:chart>
    <c:autoTitleDeleted val="0"/>
    <c:pivotFmts>
      <c:pivotFmt>
        <c:idx val="0"/>
      </c:pivotFmt>
      <c:pivotFmt>
        <c:idx val="1"/>
      </c:pivotFmt>
      <c:pivotFmt>
        <c:idx val="2"/>
        <c:spPr>
          <a:solidFill>
            <a:srgbClr val="00B050"/>
          </a:solidFill>
          <a:ln>
            <a:noFill/>
          </a:ln>
          <a:effectLst>
            <a:outerShdw blurRad="57150" dist="19050" dir="5400000" algn="ctr" rotWithShape="0">
              <a:srgbClr val="000000">
                <a:alpha val="63000"/>
              </a:srgbClr>
            </a:outerShdw>
          </a:effectLst>
        </c:spPr>
        <c:marker>
          <c:symbol val="none"/>
        </c:marker>
      </c:pivotFmt>
      <c:pivotFmt>
        <c:idx val="3"/>
        <c:spPr>
          <a:solidFill>
            <a:srgbClr val="FF0000"/>
          </a:soli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Tables'!$H$2:$H$3</c:f>
              <c:strCache>
                <c:ptCount val="1"/>
                <c:pt idx="0">
                  <c:v>Healthy weight</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'Pivot Tables'!$G$4:$G$9</c:f>
              <c:strCache>
                <c:ptCount val="5"/>
                <c:pt idx="0">
                  <c:v>Central</c:v>
                </c:pt>
                <c:pt idx="1">
                  <c:v>East</c:v>
                </c:pt>
                <c:pt idx="2">
                  <c:v>North</c:v>
                </c:pt>
                <c:pt idx="3">
                  <c:v>South</c:v>
                </c:pt>
                <c:pt idx="4">
                  <c:v>West</c:v>
                </c:pt>
              </c:strCache>
            </c:strRef>
          </c:cat>
          <c:val>
            <c:numRef>
              <c:f>'Pivot Tables'!$H$4:$H$9</c:f>
              <c:numCache>
                <c:formatCode>General</c:formatCode>
                <c:ptCount val="5"/>
                <c:pt idx="0">
                  <c:v>9</c:v>
                </c:pt>
                <c:pt idx="1">
                  <c:v>1</c:v>
                </c:pt>
                <c:pt idx="2">
                  <c:v>2</c:v>
                </c:pt>
                <c:pt idx="3">
                  <c:v>7</c:v>
                </c:pt>
                <c:pt idx="4">
                  <c:v>5</c:v>
                </c:pt>
              </c:numCache>
            </c:numRef>
          </c:val>
          <c:extLst>
            <c:ext xmlns:c16="http://schemas.microsoft.com/office/drawing/2014/chart" uri="{C3380CC4-5D6E-409C-BE32-E72D297353CC}">
              <c16:uniqueId val="{00000000-580E-444C-8DD7-9C070158AC12}"/>
            </c:ext>
          </c:extLst>
        </c:ser>
        <c:ser>
          <c:idx val="1"/>
          <c:order val="1"/>
          <c:tx>
            <c:strRef>
              <c:f>'Pivot Tables'!$I$2:$I$3</c:f>
              <c:strCache>
                <c:ptCount val="1"/>
                <c:pt idx="0">
                  <c:v>Under Weight</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'Pivot Tables'!$G$4:$G$9</c:f>
              <c:strCache>
                <c:ptCount val="5"/>
                <c:pt idx="0">
                  <c:v>Central</c:v>
                </c:pt>
                <c:pt idx="1">
                  <c:v>East</c:v>
                </c:pt>
                <c:pt idx="2">
                  <c:v>North</c:v>
                </c:pt>
                <c:pt idx="3">
                  <c:v>South</c:v>
                </c:pt>
                <c:pt idx="4">
                  <c:v>West</c:v>
                </c:pt>
              </c:strCache>
            </c:strRef>
          </c:cat>
          <c:val>
            <c:numRef>
              <c:f>'Pivot Tables'!$I$4:$I$9</c:f>
              <c:numCache>
                <c:formatCode>General</c:formatCode>
                <c:ptCount val="5"/>
                <c:pt idx="0">
                  <c:v>15</c:v>
                </c:pt>
                <c:pt idx="1">
                  <c:v>20</c:v>
                </c:pt>
                <c:pt idx="2">
                  <c:v>15</c:v>
                </c:pt>
                <c:pt idx="3">
                  <c:v>19</c:v>
                </c:pt>
                <c:pt idx="4">
                  <c:v>7</c:v>
                </c:pt>
              </c:numCache>
            </c:numRef>
          </c:val>
          <c:extLst>
            <c:ext xmlns:c16="http://schemas.microsoft.com/office/drawing/2014/chart" uri="{C3380CC4-5D6E-409C-BE32-E72D297353CC}">
              <c16:uniqueId val="{00000001-4BDF-4216-88B1-D0AFF5285419}"/>
            </c:ext>
          </c:extLst>
        </c:ser>
        <c:dLbls>
          <c:showLegendKey val="0"/>
          <c:showVal val="0"/>
          <c:showCatName val="0"/>
          <c:showSerName val="0"/>
          <c:showPercent val="0"/>
          <c:showBubbleSize val="0"/>
        </c:dLbls>
        <c:gapWidth val="150"/>
        <c:axId val="1543475503"/>
        <c:axId val="1543492975"/>
      </c:barChart>
      <c:catAx>
        <c:axId val="15434755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492975"/>
        <c:crosses val="autoZero"/>
        <c:auto val="1"/>
        <c:lblAlgn val="ctr"/>
        <c:lblOffset val="100"/>
        <c:noMultiLvlLbl val="0"/>
      </c:catAx>
      <c:valAx>
        <c:axId val="1543492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4755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Tables!PivotTable10</c:name>
    <c:fmtId val="1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clustered"/>
        <c:varyColors val="0"/>
        <c:ser>
          <c:idx val="0"/>
          <c:order val="0"/>
          <c:tx>
            <c:strRef>
              <c:f>'Pivot Tables'!$H$2:$H$3</c:f>
              <c:strCache>
                <c:ptCount val="1"/>
                <c:pt idx="0">
                  <c:v>Healthy weight</c:v>
                </c:pt>
              </c:strCache>
            </c:strRef>
          </c:tx>
          <c:spPr>
            <a:solidFill>
              <a:srgbClr val="FF0000"/>
            </a:solidFill>
            <a:ln>
              <a:noFill/>
            </a:ln>
            <a:effectLst/>
          </c:spPr>
          <c:invertIfNegative val="0"/>
          <c:cat>
            <c:strRef>
              <c:f>'Pivot Tables'!$G$4:$G$9</c:f>
              <c:strCache>
                <c:ptCount val="5"/>
                <c:pt idx="0">
                  <c:v>Central</c:v>
                </c:pt>
                <c:pt idx="1">
                  <c:v>East</c:v>
                </c:pt>
                <c:pt idx="2">
                  <c:v>North</c:v>
                </c:pt>
                <c:pt idx="3">
                  <c:v>South</c:v>
                </c:pt>
                <c:pt idx="4">
                  <c:v>West</c:v>
                </c:pt>
              </c:strCache>
            </c:strRef>
          </c:cat>
          <c:val>
            <c:numRef>
              <c:f>'Pivot Tables'!$H$4:$H$9</c:f>
              <c:numCache>
                <c:formatCode>General</c:formatCode>
                <c:ptCount val="5"/>
                <c:pt idx="0">
                  <c:v>9</c:v>
                </c:pt>
                <c:pt idx="1">
                  <c:v>1</c:v>
                </c:pt>
                <c:pt idx="2">
                  <c:v>2</c:v>
                </c:pt>
                <c:pt idx="3">
                  <c:v>7</c:v>
                </c:pt>
                <c:pt idx="4">
                  <c:v>5</c:v>
                </c:pt>
              </c:numCache>
            </c:numRef>
          </c:val>
          <c:extLst>
            <c:ext xmlns:c16="http://schemas.microsoft.com/office/drawing/2014/chart" uri="{C3380CC4-5D6E-409C-BE32-E72D297353CC}">
              <c16:uniqueId val="{00000000-7D15-4A22-9329-67F40CC6D7E5}"/>
            </c:ext>
          </c:extLst>
        </c:ser>
        <c:ser>
          <c:idx val="1"/>
          <c:order val="1"/>
          <c:tx>
            <c:strRef>
              <c:f>'Pivot Tables'!$I$2:$I$3</c:f>
              <c:strCache>
                <c:ptCount val="1"/>
                <c:pt idx="0">
                  <c:v>Under Weight</c:v>
                </c:pt>
              </c:strCache>
            </c:strRef>
          </c:tx>
          <c:spPr>
            <a:solidFill>
              <a:srgbClr val="00B050"/>
            </a:solidFill>
            <a:ln>
              <a:noFill/>
            </a:ln>
            <a:effectLst/>
          </c:spPr>
          <c:invertIfNegative val="0"/>
          <c:cat>
            <c:strRef>
              <c:f>'Pivot Tables'!$G$4:$G$9</c:f>
              <c:strCache>
                <c:ptCount val="5"/>
                <c:pt idx="0">
                  <c:v>Central</c:v>
                </c:pt>
                <c:pt idx="1">
                  <c:v>East</c:v>
                </c:pt>
                <c:pt idx="2">
                  <c:v>North</c:v>
                </c:pt>
                <c:pt idx="3">
                  <c:v>South</c:v>
                </c:pt>
                <c:pt idx="4">
                  <c:v>West</c:v>
                </c:pt>
              </c:strCache>
            </c:strRef>
          </c:cat>
          <c:val>
            <c:numRef>
              <c:f>'Pivot Tables'!$I$4:$I$9</c:f>
              <c:numCache>
                <c:formatCode>General</c:formatCode>
                <c:ptCount val="5"/>
                <c:pt idx="0">
                  <c:v>15</c:v>
                </c:pt>
                <c:pt idx="1">
                  <c:v>20</c:v>
                </c:pt>
                <c:pt idx="2">
                  <c:v>15</c:v>
                </c:pt>
                <c:pt idx="3">
                  <c:v>19</c:v>
                </c:pt>
                <c:pt idx="4">
                  <c:v>7</c:v>
                </c:pt>
              </c:numCache>
            </c:numRef>
          </c:val>
          <c:extLst>
            <c:ext xmlns:c16="http://schemas.microsoft.com/office/drawing/2014/chart" uri="{C3380CC4-5D6E-409C-BE32-E72D297353CC}">
              <c16:uniqueId val="{00000003-7D15-4A22-9329-67F40CC6D7E5}"/>
            </c:ext>
          </c:extLst>
        </c:ser>
        <c:dLbls>
          <c:showLegendKey val="0"/>
          <c:showVal val="0"/>
          <c:showCatName val="0"/>
          <c:showSerName val="0"/>
          <c:showPercent val="0"/>
          <c:showBubbleSize val="0"/>
        </c:dLbls>
        <c:gapWidth val="219"/>
        <c:overlap val="-27"/>
        <c:axId val="1543475503"/>
        <c:axId val="1543492975"/>
      </c:barChart>
      <c:catAx>
        <c:axId val="154347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492975"/>
        <c:crosses val="autoZero"/>
        <c:auto val="1"/>
        <c:lblAlgn val="ctr"/>
        <c:lblOffset val="100"/>
        <c:noMultiLvlLbl val="0"/>
      </c:catAx>
      <c:valAx>
        <c:axId val="154349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4755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Tables!PivotTable2</c:name>
    <c:fmtId val="4"/>
  </c:pivotSource>
  <c:chart>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6">
              <a:lumMod val="50000"/>
            </a:schemeClr>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5.2777777777777778E-2"/>
          <c:y val="0.2572178477690289"/>
          <c:w val="0.72038363954505691"/>
          <c:h val="0.56695902595508896"/>
        </c:manualLayout>
      </c:layout>
      <c:barChart>
        <c:barDir val="col"/>
        <c:grouping val="clustered"/>
        <c:varyColors val="0"/>
        <c:ser>
          <c:idx val="0"/>
          <c:order val="0"/>
          <c:tx>
            <c:strRef>
              <c:f>'Pivot Tables'!$B$3:$B$4</c:f>
              <c:strCache>
                <c:ptCount val="1"/>
                <c:pt idx="0">
                  <c:v>Under Weight</c:v>
                </c:pt>
              </c:strCache>
            </c:strRef>
          </c:tx>
          <c:spPr>
            <a:solidFill>
              <a:srgbClr val="FF0000"/>
            </a:solidFill>
            <a:ln>
              <a:noFill/>
            </a:ln>
            <a:effectLst/>
          </c:spPr>
          <c:invertIfNegative val="0"/>
          <c:dLbls>
            <c:delete val="1"/>
          </c:dLbls>
          <c:cat>
            <c:strRef>
              <c:f>'Pivot Tables'!$A$5:$A$8</c:f>
              <c:strCache>
                <c:ptCount val="3"/>
                <c:pt idx="0">
                  <c:v>Babies</c:v>
                </c:pt>
                <c:pt idx="1">
                  <c:v>Kids</c:v>
                </c:pt>
                <c:pt idx="2">
                  <c:v>Toddlers</c:v>
                </c:pt>
              </c:strCache>
            </c:strRef>
          </c:cat>
          <c:val>
            <c:numRef>
              <c:f>'Pivot Tables'!$B$5:$B$8</c:f>
              <c:numCache>
                <c:formatCode>General</c:formatCode>
                <c:ptCount val="3"/>
                <c:pt idx="0">
                  <c:v>33</c:v>
                </c:pt>
                <c:pt idx="1">
                  <c:v>21</c:v>
                </c:pt>
                <c:pt idx="2">
                  <c:v>22</c:v>
                </c:pt>
              </c:numCache>
            </c:numRef>
          </c:val>
          <c:extLst>
            <c:ext xmlns:c16="http://schemas.microsoft.com/office/drawing/2014/chart" uri="{C3380CC4-5D6E-409C-BE32-E72D297353CC}">
              <c16:uniqueId val="{00000000-5DDF-42E1-8B15-0F559FF85759}"/>
            </c:ext>
          </c:extLst>
        </c:ser>
        <c:ser>
          <c:idx val="1"/>
          <c:order val="1"/>
          <c:tx>
            <c:strRef>
              <c:f>'Pivot Tables'!$C$3:$C$4</c:f>
              <c:strCache>
                <c:ptCount val="1"/>
                <c:pt idx="0">
                  <c:v>Healthy weight</c:v>
                </c:pt>
              </c:strCache>
            </c:strRef>
          </c:tx>
          <c:spPr>
            <a:solidFill>
              <a:schemeClr val="accent6">
                <a:lumMod val="50000"/>
              </a:schemeClr>
            </a:solidFill>
            <a:ln>
              <a:noFill/>
            </a:ln>
            <a:effectLst/>
          </c:spPr>
          <c:invertIfNegative val="0"/>
          <c:dLbls>
            <c:delete val="1"/>
          </c:dLbls>
          <c:cat>
            <c:strRef>
              <c:f>'Pivot Tables'!$A$5:$A$8</c:f>
              <c:strCache>
                <c:ptCount val="3"/>
                <c:pt idx="0">
                  <c:v>Babies</c:v>
                </c:pt>
                <c:pt idx="1">
                  <c:v>Kids</c:v>
                </c:pt>
                <c:pt idx="2">
                  <c:v>Toddlers</c:v>
                </c:pt>
              </c:strCache>
            </c:strRef>
          </c:cat>
          <c:val>
            <c:numRef>
              <c:f>'Pivot Tables'!$C$5:$C$8</c:f>
              <c:numCache>
                <c:formatCode>General</c:formatCode>
                <c:ptCount val="3"/>
                <c:pt idx="0">
                  <c:v>6</c:v>
                </c:pt>
                <c:pt idx="1">
                  <c:v>10</c:v>
                </c:pt>
                <c:pt idx="2">
                  <c:v>8</c:v>
                </c:pt>
              </c:numCache>
            </c:numRef>
          </c:val>
          <c:extLst>
            <c:ext xmlns:c16="http://schemas.microsoft.com/office/drawing/2014/chart" uri="{C3380CC4-5D6E-409C-BE32-E72D297353CC}">
              <c16:uniqueId val="{00000003-5DDF-42E1-8B15-0F559FF85759}"/>
            </c:ext>
          </c:extLst>
        </c:ser>
        <c:dLbls>
          <c:dLblPos val="inEnd"/>
          <c:showLegendKey val="0"/>
          <c:showVal val="1"/>
          <c:showCatName val="0"/>
          <c:showSerName val="0"/>
          <c:showPercent val="0"/>
          <c:showBubbleSize val="0"/>
        </c:dLbls>
        <c:gapWidth val="100"/>
        <c:overlap val="-24"/>
        <c:axId val="1538526751"/>
        <c:axId val="1538527583"/>
      </c:barChart>
      <c:catAx>
        <c:axId val="1538526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527583"/>
        <c:crosses val="autoZero"/>
        <c:auto val="1"/>
        <c:lblAlgn val="ctr"/>
        <c:lblOffset val="100"/>
        <c:noMultiLvlLbl val="0"/>
      </c:catAx>
      <c:valAx>
        <c:axId val="1538527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8526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Tables!PivotTable8</c:name>
    <c:fmtId val="1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s>
    <c:plotArea>
      <c:layout/>
      <c:barChart>
        <c:barDir val="col"/>
        <c:grouping val="clustered"/>
        <c:varyColors val="0"/>
        <c:ser>
          <c:idx val="0"/>
          <c:order val="0"/>
          <c:tx>
            <c:strRef>
              <c:f>'Pivot Tables'!$B$43:$B$45</c:f>
              <c:strCache>
                <c:ptCount val="1"/>
                <c:pt idx="0">
                  <c:v>Average of Height_cm - Healthy weight</c:v>
                </c:pt>
              </c:strCache>
            </c:strRef>
          </c:tx>
          <c:spPr>
            <a:solidFill>
              <a:srgbClr val="92D050"/>
            </a:solidFill>
            <a:ln>
              <a:noFill/>
            </a:ln>
            <a:effectLst/>
          </c:spPr>
          <c:invertIfNegative val="0"/>
          <c:cat>
            <c:strRef>
              <c:f>'Pivot Tables'!$A$46:$A$49</c:f>
              <c:strCache>
                <c:ptCount val="3"/>
                <c:pt idx="0">
                  <c:v>Babies</c:v>
                </c:pt>
                <c:pt idx="1">
                  <c:v>Kids</c:v>
                </c:pt>
                <c:pt idx="2">
                  <c:v>Toddlers</c:v>
                </c:pt>
              </c:strCache>
            </c:strRef>
          </c:cat>
          <c:val>
            <c:numRef>
              <c:f>'Pivot Tables'!$B$46:$B$49</c:f>
              <c:numCache>
                <c:formatCode>0.00</c:formatCode>
                <c:ptCount val="3"/>
                <c:pt idx="0">
                  <c:v>95.12</c:v>
                </c:pt>
                <c:pt idx="1">
                  <c:v>107.28399999999999</c:v>
                </c:pt>
                <c:pt idx="2">
                  <c:v>101.72999999999999</c:v>
                </c:pt>
              </c:numCache>
            </c:numRef>
          </c:val>
          <c:extLst>
            <c:ext xmlns:c16="http://schemas.microsoft.com/office/drawing/2014/chart" uri="{C3380CC4-5D6E-409C-BE32-E72D297353CC}">
              <c16:uniqueId val="{00000000-ECEB-4A83-9FA1-904105B999DE}"/>
            </c:ext>
          </c:extLst>
        </c:ser>
        <c:ser>
          <c:idx val="1"/>
          <c:order val="1"/>
          <c:tx>
            <c:strRef>
              <c:f>'Pivot Tables'!$C$43:$C$45</c:f>
              <c:strCache>
                <c:ptCount val="1"/>
                <c:pt idx="0">
                  <c:v>Average of Height_cm - Under Weight</c:v>
                </c:pt>
              </c:strCache>
            </c:strRef>
          </c:tx>
          <c:spPr>
            <a:solidFill>
              <a:schemeClr val="accent2"/>
            </a:solidFill>
            <a:ln>
              <a:noFill/>
            </a:ln>
            <a:effectLst/>
          </c:spPr>
          <c:invertIfNegative val="0"/>
          <c:cat>
            <c:strRef>
              <c:f>'Pivot Tables'!$A$46:$A$49</c:f>
              <c:strCache>
                <c:ptCount val="3"/>
                <c:pt idx="0">
                  <c:v>Babies</c:v>
                </c:pt>
                <c:pt idx="1">
                  <c:v>Kids</c:v>
                </c:pt>
                <c:pt idx="2">
                  <c:v>Toddlers</c:v>
                </c:pt>
              </c:strCache>
            </c:strRef>
          </c:cat>
          <c:val>
            <c:numRef>
              <c:f>'Pivot Tables'!$C$46:$C$49</c:f>
              <c:numCache>
                <c:formatCode>0.00</c:formatCode>
                <c:ptCount val="3"/>
                <c:pt idx="0">
                  <c:v>97.544848484848472</c:v>
                </c:pt>
                <c:pt idx="1">
                  <c:v>110.67761904761903</c:v>
                </c:pt>
                <c:pt idx="2">
                  <c:v>105.22272727272725</c:v>
                </c:pt>
              </c:numCache>
            </c:numRef>
          </c:val>
          <c:extLst>
            <c:ext xmlns:c16="http://schemas.microsoft.com/office/drawing/2014/chart" uri="{C3380CC4-5D6E-409C-BE32-E72D297353CC}">
              <c16:uniqueId val="{00000001-ECEB-4A83-9FA1-904105B999DE}"/>
            </c:ext>
          </c:extLst>
        </c:ser>
        <c:ser>
          <c:idx val="2"/>
          <c:order val="2"/>
          <c:tx>
            <c:strRef>
              <c:f>'Pivot Tables'!$D$43:$D$45</c:f>
              <c:strCache>
                <c:ptCount val="1"/>
                <c:pt idx="0">
                  <c:v>Average of Weight_kg - Healthy weight</c:v>
                </c:pt>
              </c:strCache>
            </c:strRef>
          </c:tx>
          <c:spPr>
            <a:solidFill>
              <a:schemeClr val="accent6">
                <a:lumMod val="50000"/>
              </a:schemeClr>
            </a:solidFill>
            <a:ln>
              <a:noFill/>
            </a:ln>
            <a:effectLst/>
          </c:spPr>
          <c:invertIfNegative val="0"/>
          <c:cat>
            <c:strRef>
              <c:f>'Pivot Tables'!$A$46:$A$49</c:f>
              <c:strCache>
                <c:ptCount val="3"/>
                <c:pt idx="0">
                  <c:v>Babies</c:v>
                </c:pt>
                <c:pt idx="1">
                  <c:v>Kids</c:v>
                </c:pt>
                <c:pt idx="2">
                  <c:v>Toddlers</c:v>
                </c:pt>
              </c:strCache>
            </c:strRef>
          </c:cat>
          <c:val>
            <c:numRef>
              <c:f>'Pivot Tables'!$D$46:$D$49</c:f>
              <c:numCache>
                <c:formatCode>0.00</c:formatCode>
                <c:ptCount val="3"/>
                <c:pt idx="0">
                  <c:v>17.385000000000002</c:v>
                </c:pt>
                <c:pt idx="1">
                  <c:v>22.637</c:v>
                </c:pt>
                <c:pt idx="2">
                  <c:v>20.605</c:v>
                </c:pt>
              </c:numCache>
            </c:numRef>
          </c:val>
          <c:extLst>
            <c:ext xmlns:c16="http://schemas.microsoft.com/office/drawing/2014/chart" uri="{C3380CC4-5D6E-409C-BE32-E72D297353CC}">
              <c16:uniqueId val="{00000006-ECEB-4A83-9FA1-904105B999DE}"/>
            </c:ext>
          </c:extLst>
        </c:ser>
        <c:ser>
          <c:idx val="3"/>
          <c:order val="3"/>
          <c:tx>
            <c:strRef>
              <c:f>'Pivot Tables'!$E$43:$E$45</c:f>
              <c:strCache>
                <c:ptCount val="1"/>
                <c:pt idx="0">
                  <c:v>Average of Weight_kg - Under Weight</c:v>
                </c:pt>
              </c:strCache>
            </c:strRef>
          </c:tx>
          <c:spPr>
            <a:solidFill>
              <a:schemeClr val="accent4"/>
            </a:solidFill>
            <a:ln>
              <a:noFill/>
            </a:ln>
            <a:effectLst/>
          </c:spPr>
          <c:invertIfNegative val="0"/>
          <c:cat>
            <c:strRef>
              <c:f>'Pivot Tables'!$A$46:$A$49</c:f>
              <c:strCache>
                <c:ptCount val="3"/>
                <c:pt idx="0">
                  <c:v>Babies</c:v>
                </c:pt>
                <c:pt idx="1">
                  <c:v>Kids</c:v>
                </c:pt>
                <c:pt idx="2">
                  <c:v>Toddlers</c:v>
                </c:pt>
              </c:strCache>
            </c:strRef>
          </c:cat>
          <c:val>
            <c:numRef>
              <c:f>'Pivot Tables'!$E$46:$E$49</c:f>
              <c:numCache>
                <c:formatCode>0.00</c:formatCode>
                <c:ptCount val="3"/>
                <c:pt idx="0">
                  <c:v>15.049090909090905</c:v>
                </c:pt>
                <c:pt idx="1">
                  <c:v>20.282380952380954</c:v>
                </c:pt>
                <c:pt idx="2">
                  <c:v>18.253181818181815</c:v>
                </c:pt>
              </c:numCache>
            </c:numRef>
          </c:val>
          <c:extLst>
            <c:ext xmlns:c16="http://schemas.microsoft.com/office/drawing/2014/chart" uri="{C3380CC4-5D6E-409C-BE32-E72D297353CC}">
              <c16:uniqueId val="{00000007-ECEB-4A83-9FA1-904105B999DE}"/>
            </c:ext>
          </c:extLst>
        </c:ser>
        <c:dLbls>
          <c:showLegendKey val="0"/>
          <c:showVal val="0"/>
          <c:showCatName val="0"/>
          <c:showSerName val="0"/>
          <c:showPercent val="0"/>
          <c:showBubbleSize val="0"/>
        </c:dLbls>
        <c:gapWidth val="219"/>
        <c:overlap val="-27"/>
        <c:axId val="1543480079"/>
        <c:axId val="1543482991"/>
      </c:barChart>
      <c:catAx>
        <c:axId val="154348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482991"/>
        <c:crosses val="autoZero"/>
        <c:auto val="1"/>
        <c:lblAlgn val="ctr"/>
        <c:lblOffset val="100"/>
        <c:noMultiLvlLbl val="0"/>
      </c:catAx>
      <c:valAx>
        <c:axId val="1543482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4800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Tables!PivotTable6</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barChart>
        <c:barDir val="col"/>
        <c:grouping val="clustered"/>
        <c:varyColors val="0"/>
        <c:ser>
          <c:idx val="0"/>
          <c:order val="0"/>
          <c:tx>
            <c:strRef>
              <c:f>'Pivot Tables'!$B$34</c:f>
              <c:strCache>
                <c:ptCount val="1"/>
                <c:pt idx="0">
                  <c:v>Average of Daily_Sugar_Drinks</c:v>
                </c:pt>
              </c:strCache>
            </c:strRef>
          </c:tx>
          <c:spPr>
            <a:solidFill>
              <a:srgbClr val="92D050"/>
            </a:solidFill>
            <a:ln>
              <a:noFill/>
            </a:ln>
            <a:effectLst/>
          </c:spPr>
          <c:invertIfNegative val="0"/>
          <c:cat>
            <c:strRef>
              <c:f>'Pivot Tables'!$A$35:$A$37</c:f>
              <c:strCache>
                <c:ptCount val="3"/>
                <c:pt idx="0">
                  <c:v>Babies</c:v>
                </c:pt>
                <c:pt idx="1">
                  <c:v>Kids</c:v>
                </c:pt>
                <c:pt idx="2">
                  <c:v>Toddlers</c:v>
                </c:pt>
              </c:strCache>
            </c:strRef>
          </c:cat>
          <c:val>
            <c:numRef>
              <c:f>'Pivot Tables'!$B$35:$B$37</c:f>
              <c:numCache>
                <c:formatCode>0.00</c:formatCode>
                <c:ptCount val="3"/>
                <c:pt idx="0">
                  <c:v>1.6153846153846154</c:v>
                </c:pt>
                <c:pt idx="1">
                  <c:v>1.1290322580645162</c:v>
                </c:pt>
                <c:pt idx="2">
                  <c:v>1.3</c:v>
                </c:pt>
              </c:numCache>
            </c:numRef>
          </c:val>
          <c:extLst>
            <c:ext xmlns:c16="http://schemas.microsoft.com/office/drawing/2014/chart" uri="{C3380CC4-5D6E-409C-BE32-E72D297353CC}">
              <c16:uniqueId val="{00000000-7D9C-4759-8F10-23E11799423B}"/>
            </c:ext>
          </c:extLst>
        </c:ser>
        <c:dLbls>
          <c:showLegendKey val="0"/>
          <c:showVal val="0"/>
          <c:showCatName val="0"/>
          <c:showSerName val="0"/>
          <c:showPercent val="0"/>
          <c:showBubbleSize val="0"/>
        </c:dLbls>
        <c:gapWidth val="150"/>
        <c:axId val="1401852735"/>
        <c:axId val="1401856895"/>
      </c:barChart>
      <c:lineChart>
        <c:grouping val="standard"/>
        <c:varyColors val="0"/>
        <c:ser>
          <c:idx val="1"/>
          <c:order val="1"/>
          <c:tx>
            <c:strRef>
              <c:f>'Pivot Tables'!$C$34</c:f>
              <c:strCache>
                <c:ptCount val="1"/>
                <c:pt idx="0">
                  <c:v>Average of ScreenTime_Hours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Tables'!$A$35:$A$37</c:f>
              <c:strCache>
                <c:ptCount val="3"/>
                <c:pt idx="0">
                  <c:v>Babies</c:v>
                </c:pt>
                <c:pt idx="1">
                  <c:v>Kids</c:v>
                </c:pt>
                <c:pt idx="2">
                  <c:v>Toddlers</c:v>
                </c:pt>
              </c:strCache>
            </c:strRef>
          </c:cat>
          <c:val>
            <c:numRef>
              <c:f>'Pivot Tables'!$C$35:$C$37</c:f>
              <c:numCache>
                <c:formatCode>0.00</c:formatCode>
                <c:ptCount val="3"/>
                <c:pt idx="0">
                  <c:v>1.4358974358974359</c:v>
                </c:pt>
                <c:pt idx="1">
                  <c:v>1.3419354838709681</c:v>
                </c:pt>
                <c:pt idx="2">
                  <c:v>1.3866666666666667</c:v>
                </c:pt>
              </c:numCache>
            </c:numRef>
          </c:val>
          <c:smooth val="0"/>
          <c:extLst>
            <c:ext xmlns:c16="http://schemas.microsoft.com/office/drawing/2014/chart" uri="{C3380CC4-5D6E-409C-BE32-E72D297353CC}">
              <c16:uniqueId val="{00000001-7D9C-4759-8F10-23E11799423B}"/>
            </c:ext>
          </c:extLst>
        </c:ser>
        <c:dLbls>
          <c:showLegendKey val="0"/>
          <c:showVal val="0"/>
          <c:showCatName val="0"/>
          <c:showSerName val="0"/>
          <c:showPercent val="0"/>
          <c:showBubbleSize val="0"/>
        </c:dLbls>
        <c:marker val="1"/>
        <c:smooth val="0"/>
        <c:axId val="1543481327"/>
        <c:axId val="1543494639"/>
      </c:lineChart>
      <c:catAx>
        <c:axId val="14018527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1856895"/>
        <c:crosses val="autoZero"/>
        <c:auto val="1"/>
        <c:lblAlgn val="ctr"/>
        <c:lblOffset val="100"/>
        <c:noMultiLvlLbl val="0"/>
      </c:catAx>
      <c:valAx>
        <c:axId val="140185689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1852735"/>
        <c:crosses val="autoZero"/>
        <c:crossBetween val="between"/>
      </c:valAx>
      <c:valAx>
        <c:axId val="154349463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3481327"/>
        <c:crosses val="max"/>
        <c:crossBetween val="between"/>
      </c:valAx>
      <c:catAx>
        <c:axId val="1543481327"/>
        <c:scaling>
          <c:orientation val="minMax"/>
        </c:scaling>
        <c:delete val="1"/>
        <c:axPos val="b"/>
        <c:numFmt formatCode="General" sourceLinked="1"/>
        <c:majorTickMark val="none"/>
        <c:minorTickMark val="none"/>
        <c:tickLblPos val="nextTo"/>
        <c:crossAx val="154349463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[Nutrition analysis in kids.xlsx]Pivot Tables!PivotTable5</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clustered"/>
        <c:varyColors val="0"/>
        <c:ser>
          <c:idx val="0"/>
          <c:order val="0"/>
          <c:tx>
            <c:strRef>
              <c:f>'Pivot Tables'!$B$27</c:f>
              <c:strCache>
                <c:ptCount val="1"/>
                <c:pt idx="0">
                  <c:v>Average of Daily_Veggie_Servings</c:v>
                </c:pt>
              </c:strCache>
            </c:strRef>
          </c:tx>
          <c:spPr>
            <a:solidFill>
              <a:srgbClr val="92D050"/>
            </a:solidFill>
            <a:ln>
              <a:noFill/>
            </a:ln>
            <a:effectLst/>
          </c:spPr>
          <c:invertIfNegative val="0"/>
          <c:cat>
            <c:strRef>
              <c:f>'Pivot Tables'!$A$28:$A$31</c:f>
              <c:strCache>
                <c:ptCount val="3"/>
                <c:pt idx="0">
                  <c:v>Babies</c:v>
                </c:pt>
                <c:pt idx="1">
                  <c:v>Kids</c:v>
                </c:pt>
                <c:pt idx="2">
                  <c:v>Toddlers</c:v>
                </c:pt>
              </c:strCache>
            </c:strRef>
          </c:cat>
          <c:val>
            <c:numRef>
              <c:f>'Pivot Tables'!$B$28:$B$31</c:f>
              <c:numCache>
                <c:formatCode>0.00</c:formatCode>
                <c:ptCount val="3"/>
                <c:pt idx="0">
                  <c:v>1.9230769230769231</c:v>
                </c:pt>
                <c:pt idx="1">
                  <c:v>1.7096774193548387</c:v>
                </c:pt>
                <c:pt idx="2">
                  <c:v>2.0666666666666669</c:v>
                </c:pt>
              </c:numCache>
            </c:numRef>
          </c:val>
          <c:extLst>
            <c:ext xmlns:c16="http://schemas.microsoft.com/office/drawing/2014/chart" uri="{C3380CC4-5D6E-409C-BE32-E72D297353CC}">
              <c16:uniqueId val="{00000000-D408-43A9-A59A-09CA27514C07}"/>
            </c:ext>
          </c:extLst>
        </c:ser>
        <c:dLbls>
          <c:showLegendKey val="0"/>
          <c:showVal val="0"/>
          <c:showCatName val="0"/>
          <c:showSerName val="0"/>
          <c:showPercent val="0"/>
          <c:showBubbleSize val="0"/>
        </c:dLbls>
        <c:gapWidth val="150"/>
        <c:axId val="1548382991"/>
        <c:axId val="1548386735"/>
      </c:barChart>
      <c:lineChart>
        <c:grouping val="standard"/>
        <c:varyColors val="0"/>
        <c:ser>
          <c:idx val="1"/>
          <c:order val="1"/>
          <c:tx>
            <c:strRef>
              <c:f>'Pivot Tables'!$C$27</c:f>
              <c:strCache>
                <c:ptCount val="1"/>
                <c:pt idx="0">
                  <c:v>Average of Daily_Fruit_Servings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Tables'!$A$28:$A$31</c:f>
              <c:strCache>
                <c:ptCount val="3"/>
                <c:pt idx="0">
                  <c:v>Babies</c:v>
                </c:pt>
                <c:pt idx="1">
                  <c:v>Kids</c:v>
                </c:pt>
                <c:pt idx="2">
                  <c:v>Toddlers</c:v>
                </c:pt>
              </c:strCache>
            </c:strRef>
          </c:cat>
          <c:val>
            <c:numRef>
              <c:f>'Pivot Tables'!$C$28:$C$31</c:f>
              <c:numCache>
                <c:formatCode>0.00</c:formatCode>
                <c:ptCount val="3"/>
                <c:pt idx="0">
                  <c:v>2.5384615384615383</c:v>
                </c:pt>
                <c:pt idx="1">
                  <c:v>1.935483870967742</c:v>
                </c:pt>
                <c:pt idx="2">
                  <c:v>2</c:v>
                </c:pt>
              </c:numCache>
            </c:numRef>
          </c:val>
          <c:smooth val="0"/>
          <c:extLst>
            <c:ext xmlns:c16="http://schemas.microsoft.com/office/drawing/2014/chart" uri="{C3380CC4-5D6E-409C-BE32-E72D297353CC}">
              <c16:uniqueId val="{00000001-D408-43A9-A59A-09CA27514C07}"/>
            </c:ext>
          </c:extLst>
        </c:ser>
        <c:dLbls>
          <c:showLegendKey val="0"/>
          <c:showVal val="0"/>
          <c:showCatName val="0"/>
          <c:showSerName val="0"/>
          <c:showPercent val="0"/>
          <c:showBubbleSize val="0"/>
        </c:dLbls>
        <c:marker val="1"/>
        <c:smooth val="0"/>
        <c:axId val="1548382991"/>
        <c:axId val="1548386735"/>
      </c:lineChart>
      <c:catAx>
        <c:axId val="15483829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386735"/>
        <c:crosses val="autoZero"/>
        <c:auto val="1"/>
        <c:lblAlgn val="ctr"/>
        <c:lblOffset val="100"/>
        <c:noMultiLvlLbl val="0"/>
      </c:catAx>
      <c:valAx>
        <c:axId val="154838673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8382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460375</xdr:colOff>
      <xdr:row>0</xdr:row>
      <xdr:rowOff>110066</xdr:rowOff>
    </xdr:from>
    <xdr:to>
      <xdr:col>5</xdr:col>
      <xdr:colOff>889000</xdr:colOff>
      <xdr:row>14</xdr:row>
      <xdr:rowOff>186266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481540</xdr:colOff>
      <xdr:row>19</xdr:row>
      <xdr:rowOff>184150</xdr:rowOff>
    </xdr:from>
    <xdr:to>
      <xdr:col>15</xdr:col>
      <xdr:colOff>1000125</xdr:colOff>
      <xdr:row>34</xdr:row>
      <xdr:rowOff>69850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492123</xdr:colOff>
      <xdr:row>16</xdr:row>
      <xdr:rowOff>25401</xdr:rowOff>
    </xdr:from>
    <xdr:to>
      <xdr:col>5</xdr:col>
      <xdr:colOff>968373</xdr:colOff>
      <xdr:row>30</xdr:row>
      <xdr:rowOff>101601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1285874</xdr:colOff>
      <xdr:row>26</xdr:row>
      <xdr:rowOff>35983</xdr:rowOff>
    </xdr:from>
    <xdr:to>
      <xdr:col>7</xdr:col>
      <xdr:colOff>597958</xdr:colOff>
      <xdr:row>40</xdr:row>
      <xdr:rowOff>112183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1010707</xdr:colOff>
      <xdr:row>42</xdr:row>
      <xdr:rowOff>67734</xdr:rowOff>
    </xdr:from>
    <xdr:to>
      <xdr:col>8</xdr:col>
      <xdr:colOff>735541</xdr:colOff>
      <xdr:row>56</xdr:row>
      <xdr:rowOff>143934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1550457</xdr:colOff>
      <xdr:row>10</xdr:row>
      <xdr:rowOff>14817</xdr:rowOff>
    </xdr:from>
    <xdr:to>
      <xdr:col>10</xdr:col>
      <xdr:colOff>428624</xdr:colOff>
      <xdr:row>24</xdr:row>
      <xdr:rowOff>91017</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13608</xdr:rowOff>
    </xdr:from>
    <xdr:to>
      <xdr:col>17</xdr:col>
      <xdr:colOff>258536</xdr:colOff>
      <xdr:row>3</xdr:row>
      <xdr:rowOff>180976</xdr:rowOff>
    </xdr:to>
    <xdr:sp macro="" textlink="">
      <xdr:nvSpPr>
        <xdr:cNvPr id="2" name="TextBox 1"/>
        <xdr:cNvSpPr txBox="1"/>
      </xdr:nvSpPr>
      <xdr:spPr>
        <a:xfrm>
          <a:off x="57150" y="13608"/>
          <a:ext cx="10610850" cy="738868"/>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Healthy Futures</a:t>
          </a:r>
        </a:p>
        <a:p>
          <a:pPr algn="ctr"/>
          <a:r>
            <a:rPr lang="en-US" sz="1800" b="1"/>
            <a:t>Nutrition &amp; Growth Analysis</a:t>
          </a:r>
        </a:p>
      </xdr:txBody>
    </xdr:sp>
    <xdr:clientData/>
  </xdr:twoCellAnchor>
  <xdr:oneCellAnchor>
    <xdr:from>
      <xdr:col>0</xdr:col>
      <xdr:colOff>266700</xdr:colOff>
      <xdr:row>4</xdr:row>
      <xdr:rowOff>142875</xdr:rowOff>
    </xdr:from>
    <xdr:ext cx="184731" cy="264560"/>
    <xdr:sp macro="" textlink="">
      <xdr:nvSpPr>
        <xdr:cNvPr id="3" name="TextBox 2"/>
        <xdr:cNvSpPr txBox="1"/>
      </xdr:nvSpPr>
      <xdr:spPr>
        <a:xfrm>
          <a:off x="266700"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57150</xdr:colOff>
      <xdr:row>3</xdr:row>
      <xdr:rowOff>190499</xdr:rowOff>
    </xdr:from>
    <xdr:to>
      <xdr:col>17</xdr:col>
      <xdr:colOff>258536</xdr:colOff>
      <xdr:row>7</xdr:row>
      <xdr:rowOff>9524</xdr:rowOff>
    </xdr:to>
    <xdr:sp macro="" textlink="">
      <xdr:nvSpPr>
        <xdr:cNvPr id="4" name="TextBox 3"/>
        <xdr:cNvSpPr txBox="1"/>
      </xdr:nvSpPr>
      <xdr:spPr>
        <a:xfrm>
          <a:off x="57150" y="761999"/>
          <a:ext cx="10610850" cy="5810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t>Healthy Futures</a:t>
          </a:r>
          <a:endParaRPr lang="en-US" sz="1100">
            <a:solidFill>
              <a:schemeClr val="dk1"/>
            </a:solidFill>
            <a:latin typeface="+mn-lt"/>
            <a:ea typeface="+mn-ea"/>
            <a:cs typeface="+mn-cs"/>
          </a:endParaRPr>
        </a:p>
      </xdr:txBody>
    </xdr:sp>
    <xdr:clientData/>
  </xdr:twoCellAnchor>
  <xdr:twoCellAnchor>
    <xdr:from>
      <xdr:col>0</xdr:col>
      <xdr:colOff>68037</xdr:colOff>
      <xdr:row>4</xdr:row>
      <xdr:rowOff>34017</xdr:rowOff>
    </xdr:from>
    <xdr:to>
      <xdr:col>3</xdr:col>
      <xdr:colOff>315687</xdr:colOff>
      <xdr:row>7</xdr:row>
      <xdr:rowOff>13606</xdr:rowOff>
    </xdr:to>
    <xdr:sp macro="" textlink="">
      <xdr:nvSpPr>
        <xdr:cNvPr id="6" name="TextBox 5"/>
        <xdr:cNvSpPr txBox="1"/>
      </xdr:nvSpPr>
      <xdr:spPr>
        <a:xfrm>
          <a:off x="68037" y="796017"/>
          <a:ext cx="2084614" cy="55108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dk1"/>
              </a:solidFill>
              <a:effectLst/>
              <a:latin typeface="+mn-lt"/>
              <a:ea typeface="+mn-ea"/>
              <a:cs typeface="+mn-cs"/>
            </a:rPr>
            <a:t>Average</a:t>
          </a:r>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Height_cm</a:t>
          </a:r>
          <a:r>
            <a:rPr lang="en-US" sz="1200" b="1"/>
            <a:t> </a:t>
          </a:r>
        </a:p>
        <a:p>
          <a:pPr algn="ctr"/>
          <a:r>
            <a:rPr lang="en-US" sz="1200" b="1" i="0" u="none" strike="noStrike">
              <a:solidFill>
                <a:schemeClr val="dk1"/>
              </a:solidFill>
              <a:effectLst/>
              <a:latin typeface="+mn-lt"/>
              <a:ea typeface="+mn-ea"/>
              <a:cs typeface="+mn-cs"/>
            </a:rPr>
            <a:t>103.16</a:t>
          </a:r>
          <a:r>
            <a:rPr lang="en-US" sz="1200" b="1"/>
            <a:t> </a:t>
          </a:r>
          <a:endParaRPr lang="en-US" sz="1200" b="1"/>
        </a:p>
      </xdr:txBody>
    </xdr:sp>
    <xdr:clientData/>
  </xdr:twoCellAnchor>
  <xdr:twoCellAnchor>
    <xdr:from>
      <xdr:col>3</xdr:col>
      <xdr:colOff>530678</xdr:colOff>
      <xdr:row>3</xdr:row>
      <xdr:rowOff>183696</xdr:rowOff>
    </xdr:from>
    <xdr:to>
      <xdr:col>6</xdr:col>
      <xdr:colOff>559253</xdr:colOff>
      <xdr:row>7</xdr:row>
      <xdr:rowOff>0</xdr:rowOff>
    </xdr:to>
    <xdr:sp macro="" textlink="">
      <xdr:nvSpPr>
        <xdr:cNvPr id="7" name="TextBox 6"/>
        <xdr:cNvSpPr txBox="1"/>
      </xdr:nvSpPr>
      <xdr:spPr>
        <a:xfrm>
          <a:off x="2367642" y="755196"/>
          <a:ext cx="1865540" cy="578304"/>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dk1"/>
              </a:solidFill>
              <a:effectLst/>
              <a:latin typeface="+mn-lt"/>
              <a:ea typeface="+mn-ea"/>
              <a:cs typeface="+mn-cs"/>
            </a:rPr>
            <a:t>Average</a:t>
          </a:r>
          <a:r>
            <a:rPr lang="en-US" sz="1200" b="1" i="0" u="none" strike="noStrike" baseline="0">
              <a:solidFill>
                <a:schemeClr val="dk1"/>
              </a:solidFill>
              <a:effectLst/>
              <a:latin typeface="+mn-lt"/>
              <a:ea typeface="+mn-ea"/>
              <a:cs typeface="+mn-cs"/>
            </a:rPr>
            <a:t> </a:t>
          </a:r>
          <a:r>
            <a:rPr lang="en-US" sz="1200" b="1" i="0" u="none" strike="noStrike">
              <a:solidFill>
                <a:schemeClr val="dk1"/>
              </a:solidFill>
              <a:effectLst/>
              <a:latin typeface="+mn-lt"/>
              <a:ea typeface="+mn-ea"/>
              <a:cs typeface="+mn-cs"/>
            </a:rPr>
            <a:t>Weight_kg</a:t>
          </a:r>
          <a:r>
            <a:rPr lang="en-US" sz="1200" b="1"/>
            <a:t> </a:t>
          </a:r>
        </a:p>
        <a:p>
          <a:pPr algn="ctr"/>
          <a:r>
            <a:rPr lang="en-US" sz="1200" b="1" i="0" u="none" strike="noStrike">
              <a:solidFill>
                <a:schemeClr val="dk1"/>
              </a:solidFill>
              <a:effectLst/>
              <a:latin typeface="+mn-lt"/>
              <a:ea typeface="+mn-ea"/>
              <a:cs typeface="+mn-cs"/>
            </a:rPr>
            <a:t>18.20</a:t>
          </a:r>
          <a:r>
            <a:rPr lang="en-US" sz="1200" b="1"/>
            <a:t> </a:t>
          </a:r>
          <a:endParaRPr lang="en-US" sz="1200" b="1"/>
        </a:p>
      </xdr:txBody>
    </xdr:sp>
    <xdr:clientData/>
  </xdr:twoCellAnchor>
  <xdr:twoCellAnchor>
    <xdr:from>
      <xdr:col>7</xdr:col>
      <xdr:colOff>138792</xdr:colOff>
      <xdr:row>4</xdr:row>
      <xdr:rowOff>5441</xdr:rowOff>
    </xdr:from>
    <xdr:to>
      <xdr:col>10</xdr:col>
      <xdr:colOff>217713</xdr:colOff>
      <xdr:row>7</xdr:row>
      <xdr:rowOff>54429</xdr:rowOff>
    </xdr:to>
    <xdr:sp macro="" textlink="">
      <xdr:nvSpPr>
        <xdr:cNvPr id="5" name="TextBox 4"/>
        <xdr:cNvSpPr txBox="1"/>
      </xdr:nvSpPr>
      <xdr:spPr>
        <a:xfrm>
          <a:off x="4425042" y="767441"/>
          <a:ext cx="1915885" cy="620488"/>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dk1"/>
              </a:solidFill>
              <a:effectLst/>
              <a:latin typeface="+mn-lt"/>
              <a:ea typeface="+mn-ea"/>
              <a:cs typeface="+mn-cs"/>
            </a:rPr>
            <a:t>Focus Region</a:t>
          </a:r>
          <a:r>
            <a:rPr lang="en-US" sz="1200" b="1"/>
            <a:t> </a:t>
          </a:r>
        </a:p>
        <a:p>
          <a:pPr algn="ctr"/>
          <a:r>
            <a:rPr lang="en-US" sz="1200" b="1" i="0" u="none" strike="noStrike">
              <a:solidFill>
                <a:srgbClr val="FF0000"/>
              </a:solidFill>
              <a:effectLst/>
              <a:latin typeface="+mn-lt"/>
              <a:ea typeface="+mn-ea"/>
              <a:cs typeface="+mn-cs"/>
            </a:rPr>
            <a:t>East</a:t>
          </a:r>
          <a:r>
            <a:rPr lang="en-US" sz="1200" b="1">
              <a:solidFill>
                <a:srgbClr val="FF0000"/>
              </a:solidFill>
            </a:rPr>
            <a:t> </a:t>
          </a:r>
        </a:p>
      </xdr:txBody>
    </xdr:sp>
    <xdr:clientData/>
  </xdr:twoCellAnchor>
  <xdr:twoCellAnchor>
    <xdr:from>
      <xdr:col>10</xdr:col>
      <xdr:colOff>417740</xdr:colOff>
      <xdr:row>3</xdr:row>
      <xdr:rowOff>182334</xdr:rowOff>
    </xdr:from>
    <xdr:to>
      <xdr:col>13</xdr:col>
      <xdr:colOff>512989</xdr:colOff>
      <xdr:row>7</xdr:row>
      <xdr:rowOff>13607</xdr:rowOff>
    </xdr:to>
    <xdr:sp macro="" textlink="">
      <xdr:nvSpPr>
        <xdr:cNvPr id="9" name="TextBox 8"/>
        <xdr:cNvSpPr txBox="1"/>
      </xdr:nvSpPr>
      <xdr:spPr>
        <a:xfrm>
          <a:off x="6540954" y="753834"/>
          <a:ext cx="1932214" cy="5932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  </a:t>
          </a:r>
          <a:r>
            <a:rPr lang="en-US" sz="1200" b="1" i="0" u="none" strike="noStrike">
              <a:solidFill>
                <a:schemeClr val="dk1"/>
              </a:solidFill>
              <a:effectLst/>
              <a:latin typeface="+mn-lt"/>
              <a:ea typeface="+mn-ea"/>
              <a:cs typeface="+mn-cs"/>
            </a:rPr>
            <a:t>Average BMI</a:t>
          </a:r>
          <a:r>
            <a:rPr lang="en-US" sz="1200" b="1"/>
            <a:t>          </a:t>
          </a:r>
        </a:p>
        <a:p>
          <a:pPr algn="ctr"/>
          <a:r>
            <a:rPr lang="en-US" sz="1200" b="1"/>
            <a:t>  </a:t>
          </a:r>
          <a:r>
            <a:rPr lang="en-US" sz="1200" b="1" i="0" u="none" strike="noStrike">
              <a:solidFill>
                <a:schemeClr val="dk1"/>
              </a:solidFill>
              <a:effectLst/>
              <a:latin typeface="+mn-lt"/>
              <a:ea typeface="+mn-ea"/>
              <a:cs typeface="+mn-cs"/>
            </a:rPr>
            <a:t>17.06</a:t>
          </a:r>
          <a:r>
            <a:rPr lang="en-US" sz="1200" b="1"/>
            <a:t> </a:t>
          </a:r>
        </a:p>
      </xdr:txBody>
    </xdr:sp>
    <xdr:clientData/>
  </xdr:twoCellAnchor>
  <xdr:oneCellAnchor>
    <xdr:from>
      <xdr:col>13</xdr:col>
      <xdr:colOff>38100</xdr:colOff>
      <xdr:row>4</xdr:row>
      <xdr:rowOff>104776</xdr:rowOff>
    </xdr:from>
    <xdr:ext cx="1466850" cy="390524"/>
    <xdr:sp macro="" textlink="">
      <xdr:nvSpPr>
        <xdr:cNvPr id="10" name="TextBox 9"/>
        <xdr:cNvSpPr txBox="1"/>
      </xdr:nvSpPr>
      <xdr:spPr>
        <a:xfrm>
          <a:off x="7962900" y="866776"/>
          <a:ext cx="1466850"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14</xdr:col>
      <xdr:colOff>106136</xdr:colOff>
      <xdr:row>4</xdr:row>
      <xdr:rowOff>14968</xdr:rowOff>
    </xdr:from>
    <xdr:to>
      <xdr:col>17</xdr:col>
      <xdr:colOff>258536</xdr:colOff>
      <xdr:row>7</xdr:row>
      <xdr:rowOff>13607</xdr:rowOff>
    </xdr:to>
    <xdr:sp macro="" textlink="">
      <xdr:nvSpPr>
        <xdr:cNvPr id="12" name="TextBox 11"/>
        <xdr:cNvSpPr txBox="1"/>
      </xdr:nvSpPr>
      <xdr:spPr>
        <a:xfrm>
          <a:off x="8678636" y="776968"/>
          <a:ext cx="1989364" cy="57013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dk1"/>
              </a:solidFill>
              <a:effectLst/>
              <a:latin typeface="+mn-lt"/>
              <a:ea typeface="+mn-ea"/>
              <a:cs typeface="+mn-cs"/>
            </a:rPr>
            <a:t>Focus age Group</a:t>
          </a:r>
          <a:r>
            <a:rPr lang="en-US" sz="1200" b="1"/>
            <a:t> </a:t>
          </a:r>
        </a:p>
        <a:p>
          <a:pPr algn="ctr"/>
          <a:r>
            <a:rPr lang="en-US" sz="1200" b="1" i="0" u="none" strike="noStrike">
              <a:solidFill>
                <a:schemeClr val="accent4"/>
              </a:solidFill>
              <a:effectLst/>
              <a:latin typeface="+mn-lt"/>
              <a:ea typeface="+mn-ea"/>
              <a:cs typeface="+mn-cs"/>
            </a:rPr>
            <a:t>Babies</a:t>
          </a:r>
          <a:r>
            <a:rPr lang="en-US" sz="1200" b="1">
              <a:solidFill>
                <a:schemeClr val="accent4"/>
              </a:solidFill>
            </a:rPr>
            <a:t> </a:t>
          </a:r>
        </a:p>
      </xdr:txBody>
    </xdr:sp>
    <xdr:clientData/>
  </xdr:twoCellAnchor>
  <xdr:twoCellAnchor>
    <xdr:from>
      <xdr:col>0</xdr:col>
      <xdr:colOff>76200</xdr:colOff>
      <xdr:row>7</xdr:row>
      <xdr:rowOff>38100</xdr:rowOff>
    </xdr:from>
    <xdr:to>
      <xdr:col>7</xdr:col>
      <xdr:colOff>142875</xdr:colOff>
      <xdr:row>21</xdr:row>
      <xdr:rowOff>114300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142875</xdr:colOff>
      <xdr:row>7</xdr:row>
      <xdr:rowOff>38100</xdr:rowOff>
    </xdr:from>
    <xdr:to>
      <xdr:col>13</xdr:col>
      <xdr:colOff>122464</xdr:colOff>
      <xdr:row>21</xdr:row>
      <xdr:rowOff>114300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170089</xdr:colOff>
      <xdr:row>21</xdr:row>
      <xdr:rowOff>108858</xdr:rowOff>
    </xdr:from>
    <xdr:to>
      <xdr:col>17</xdr:col>
      <xdr:colOff>269573</xdr:colOff>
      <xdr:row>36</xdr:row>
      <xdr:rowOff>54428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276225</xdr:colOff>
      <xdr:row>21</xdr:row>
      <xdr:rowOff>104775</xdr:rowOff>
    </xdr:from>
    <xdr:to>
      <xdr:col>11</xdr:col>
      <xdr:colOff>177800</xdr:colOff>
      <xdr:row>36</xdr:row>
      <xdr:rowOff>47625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21</xdr:row>
      <xdr:rowOff>114301</xdr:rowOff>
    </xdr:from>
    <xdr:to>
      <xdr:col>5</xdr:col>
      <xdr:colOff>276225</xdr:colOff>
      <xdr:row>36</xdr:row>
      <xdr:rowOff>9525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152399</xdr:colOff>
      <xdr:row>7</xdr:row>
      <xdr:rowOff>61233</xdr:rowOff>
    </xdr:from>
    <xdr:to>
      <xdr:col>15</xdr:col>
      <xdr:colOff>312965</xdr:colOff>
      <xdr:row>14</xdr:row>
      <xdr:rowOff>40820</xdr:rowOff>
    </xdr:to>
    <mc:AlternateContent xmlns:mc="http://schemas.openxmlformats.org/markup-compatibility/2006">
      <mc:Choice xmlns:a14="http://schemas.microsoft.com/office/drawing/2010/main" Requires="a14">
        <xdr:graphicFrame macro="">
          <xdr:nvGraphicFramePr>
            <xdr:cNvPr id="1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94649" y="1394733"/>
              <a:ext cx="1367066" cy="1313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324940</xdr:colOff>
      <xdr:row>7</xdr:row>
      <xdr:rowOff>54427</xdr:rowOff>
    </xdr:from>
    <xdr:to>
      <xdr:col>17</xdr:col>
      <xdr:colOff>272144</xdr:colOff>
      <xdr:row>21</xdr:row>
      <xdr:rowOff>95250</xdr:rowOff>
    </xdr:to>
    <mc:AlternateContent xmlns:mc="http://schemas.openxmlformats.org/markup-compatibility/2006">
      <mc:Choice xmlns:a14="http://schemas.microsoft.com/office/drawing/2010/main"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73690" y="1387927"/>
              <a:ext cx="1153704" cy="2707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161924</xdr:colOff>
      <xdr:row>14</xdr:row>
      <xdr:rowOff>68036</xdr:rowOff>
    </xdr:from>
    <xdr:to>
      <xdr:col>15</xdr:col>
      <xdr:colOff>312965</xdr:colOff>
      <xdr:row>21</xdr:row>
      <xdr:rowOff>95249</xdr:rowOff>
    </xdr:to>
    <mc:AlternateContent xmlns:mc="http://schemas.openxmlformats.org/markup-compatibility/2006">
      <mc:Choice xmlns:a14="http://schemas.microsoft.com/office/drawing/2010/main" Requires="a14">
        <xdr:graphicFrame macro="">
          <xdr:nvGraphicFramePr>
            <xdr:cNvPr id="21" name="BMI Index"/>
            <xdr:cNvGraphicFramePr/>
          </xdr:nvGraphicFramePr>
          <xdr:xfrm>
            <a:off x="0" y="0"/>
            <a:ext cx="0" cy="0"/>
          </xdr:xfrm>
          <a:graphic>
            <a:graphicData uri="http://schemas.microsoft.com/office/drawing/2010/slicer">
              <sle:slicer xmlns:sle="http://schemas.microsoft.com/office/drawing/2010/slicer" name="BMI Index"/>
            </a:graphicData>
          </a:graphic>
        </xdr:graphicFrame>
      </mc:Choice>
      <mc:Fallback>
        <xdr:sp macro="" textlink="">
          <xdr:nvSpPr>
            <xdr:cNvPr id="0" name=""/>
            <xdr:cNvSpPr>
              <a:spLocks noTextEdit="1"/>
            </xdr:cNvSpPr>
          </xdr:nvSpPr>
          <xdr:spPr>
            <a:xfrm>
              <a:off x="8004174" y="2735036"/>
              <a:ext cx="1357541" cy="136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299357</xdr:colOff>
      <xdr:row>0</xdr:row>
      <xdr:rowOff>27214</xdr:rowOff>
    </xdr:from>
    <xdr:to>
      <xdr:col>25</xdr:col>
      <xdr:colOff>176893</xdr:colOff>
      <xdr:row>36</xdr:row>
      <xdr:rowOff>54429</xdr:rowOff>
    </xdr:to>
    <xdr:sp macro="" textlink="">
      <xdr:nvSpPr>
        <xdr:cNvPr id="22" name="TextBox 21"/>
        <xdr:cNvSpPr txBox="1"/>
      </xdr:nvSpPr>
      <xdr:spPr>
        <a:xfrm>
          <a:off x="10708821" y="27214"/>
          <a:ext cx="4776108" cy="688521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KEY INSIGHTS</a:t>
          </a:r>
        </a:p>
        <a:p>
          <a:pPr algn="l"/>
          <a:endParaRPr lang="en-US" sz="1800" b="1"/>
        </a:p>
        <a:p>
          <a:pPr algn="l"/>
          <a:r>
            <a:rPr lang="en-US" sz="1800" b="1"/>
            <a:t>1. Majority</a:t>
          </a:r>
          <a:r>
            <a:rPr lang="en-US" sz="1800" b="1" baseline="0"/>
            <a:t> of children fall under under Weight category indicatin Nutrition Defeciency</a:t>
          </a:r>
        </a:p>
        <a:p>
          <a:pPr algn="l"/>
          <a:endParaRPr lang="en-US" sz="1800" b="1" baseline="0"/>
        </a:p>
        <a:p>
          <a:pPr algn="l"/>
          <a:r>
            <a:rPr lang="en-US" sz="1800" b="1" baseline="0"/>
            <a:t>2. Screen Time/ Sugar Drink consumption  is not effecting the BMI.</a:t>
          </a:r>
        </a:p>
        <a:p>
          <a:pPr algn="l"/>
          <a:r>
            <a:rPr lang="en-US" sz="1800" b="1" baseline="0"/>
            <a:t>Average screen time&amp; sugar drink consumtion is less in underweight children.</a:t>
          </a:r>
        </a:p>
        <a:p>
          <a:pPr algn="l"/>
          <a:endParaRPr lang="en-US" sz="1800" b="1" baseline="0"/>
        </a:p>
        <a:p>
          <a:pPr algn="l"/>
          <a:r>
            <a:rPr lang="en-US" sz="1800" b="1" baseline="0"/>
            <a:t>3. Daily Fruit consumption is not effecting the BMI</a:t>
          </a:r>
        </a:p>
        <a:p>
          <a:pPr algn="l"/>
          <a:endParaRPr lang="en-US" sz="1800" b="1" baseline="0"/>
        </a:p>
        <a:p>
          <a:pPr algn="l"/>
          <a:r>
            <a:rPr lang="en-US" sz="1800" b="1" baseline="0"/>
            <a:t>4. Daily veggie consumption is high in Healthy Children indicating </a:t>
          </a:r>
          <a:r>
            <a:rPr lang="en-US" sz="1800" b="1" baseline="0">
              <a:solidFill>
                <a:schemeClr val="accent2">
                  <a:lumMod val="75000"/>
                </a:schemeClr>
              </a:solidFill>
            </a:rPr>
            <a:t>Daily Veggie Consumtion effecting the overall BMI</a:t>
          </a:r>
        </a:p>
        <a:p>
          <a:pPr algn="l"/>
          <a:endParaRPr lang="en-US" sz="1800" b="1" baseline="0"/>
        </a:p>
        <a:p>
          <a:pPr algn="l"/>
          <a:r>
            <a:rPr lang="en-US" sz="1800" b="1" baseline="0"/>
            <a:t>5. </a:t>
          </a:r>
          <a:r>
            <a:rPr lang="en-US" sz="1800" b="1" baseline="0">
              <a:solidFill>
                <a:srgbClr val="FF0000"/>
              </a:solidFill>
            </a:rPr>
            <a:t>EAST</a:t>
          </a:r>
          <a:r>
            <a:rPr lang="en-US" sz="1800" b="1" baseline="0"/>
            <a:t> region has only one healthy child indicating low nutrition region.</a:t>
          </a:r>
          <a:endParaRPr lang="en-US"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IBABU" refreshedDate="46099.867072222223" createdVersion="6" refreshedVersion="6" minRefreshableVersion="3" recordCount="100">
  <cacheSource type="worksheet">
    <worksheetSource name="Sheet2__3"/>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acheField>
    <cacheField name="Daily_Veggie_Servings" numFmtId="0">
      <sharedItems containsSemiMixedTypes="0" containsString="0" containsNumber="1" containsInteger="1" minValue="0" maxValue="4"/>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numFmtId="0">
      <sharedItems containsSemiMixedTypes="0" containsString="0" containsNumber="1" minValue="11.23" maxValue="21.36"/>
    </cacheField>
    <cacheField name="BMI Index" numFmtId="0">
      <sharedItems count="3">
        <s v="Under Weight"/>
        <s v="Healthy weight"/>
        <s v="Helthy weight" u="1"/>
      </sharedItems>
    </cacheField>
    <cacheField name="Age Group" numFmtId="0">
      <sharedItems count="3">
        <s v="Toddlers"/>
        <s v="Babies"/>
        <s v="Kid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C001"/>
    <n v="47"/>
    <x v="0"/>
    <n v="104.41"/>
    <n v="17.34"/>
    <n v="1"/>
    <n v="2"/>
    <n v="3"/>
    <n v="1.2"/>
    <x v="0"/>
    <n v="15.91"/>
    <x v="0"/>
    <x v="0"/>
  </r>
  <r>
    <s v="C002"/>
    <n v="34"/>
    <x v="0"/>
    <n v="99.08"/>
    <n v="16.21"/>
    <n v="0"/>
    <n v="1"/>
    <n v="1"/>
    <n v="1.4"/>
    <x v="1"/>
    <n v="16.510000000000002"/>
    <x v="0"/>
    <x v="1"/>
  </r>
  <r>
    <s v="C003"/>
    <n v="35"/>
    <x v="0"/>
    <n v="94.96"/>
    <n v="17.3"/>
    <n v="3"/>
    <n v="3"/>
    <n v="2"/>
    <n v="0.6"/>
    <x v="1"/>
    <n v="19.190000000000001"/>
    <x v="1"/>
    <x v="1"/>
  </r>
  <r>
    <s v="C004"/>
    <n v="39"/>
    <x v="0"/>
    <n v="100.65"/>
    <n v="20.010000000000002"/>
    <n v="2"/>
    <n v="0"/>
    <n v="1"/>
    <n v="1.5"/>
    <x v="1"/>
    <n v="19.75"/>
    <x v="1"/>
    <x v="0"/>
  </r>
  <r>
    <s v="C005"/>
    <n v="26"/>
    <x v="0"/>
    <n v="90.06"/>
    <n v="12.16"/>
    <n v="0"/>
    <n v="1"/>
    <n v="0"/>
    <n v="0.9"/>
    <x v="0"/>
    <n v="14.99"/>
    <x v="0"/>
    <x v="1"/>
  </r>
  <r>
    <s v="C006"/>
    <n v="51"/>
    <x v="1"/>
    <n v="108.82"/>
    <n v="21.54"/>
    <n v="0"/>
    <n v="1"/>
    <n v="1"/>
    <n v="0.9"/>
    <x v="2"/>
    <n v="18.190000000000001"/>
    <x v="0"/>
    <x v="2"/>
  </r>
  <r>
    <s v="C007"/>
    <n v="52"/>
    <x v="1"/>
    <n v="110.28"/>
    <n v="21.49"/>
    <n v="4"/>
    <n v="0"/>
    <n v="2"/>
    <n v="2.8"/>
    <x v="0"/>
    <n v="17.670000000000002"/>
    <x v="0"/>
    <x v="2"/>
  </r>
  <r>
    <s v="C008"/>
    <n v="52"/>
    <x v="0"/>
    <n v="102.65"/>
    <n v="19.55"/>
    <n v="2"/>
    <n v="2"/>
    <n v="1"/>
    <n v="1.3"/>
    <x v="1"/>
    <n v="18.55"/>
    <x v="1"/>
    <x v="2"/>
  </r>
  <r>
    <s v="C009"/>
    <n v="28"/>
    <x v="1"/>
    <n v="91.47"/>
    <n v="16.39"/>
    <n v="3"/>
    <n v="2"/>
    <n v="3"/>
    <n v="0.8"/>
    <x v="3"/>
    <n v="19.59"/>
    <x v="1"/>
    <x v="1"/>
  </r>
  <r>
    <s v="C010"/>
    <n v="44"/>
    <x v="0"/>
    <n v="111.89"/>
    <n v="17.95"/>
    <n v="1"/>
    <n v="3"/>
    <n v="0"/>
    <n v="0.8"/>
    <x v="1"/>
    <n v="14.34"/>
    <x v="0"/>
    <x v="0"/>
  </r>
  <r>
    <s v="C011"/>
    <n v="25"/>
    <x v="1"/>
    <n v="96.25"/>
    <n v="13.5"/>
    <n v="3"/>
    <n v="4"/>
    <n v="0"/>
    <n v="0.6"/>
    <x v="4"/>
    <n v="14.57"/>
    <x v="0"/>
    <x v="1"/>
  </r>
  <r>
    <s v="C012"/>
    <n v="32"/>
    <x v="0"/>
    <n v="96.02"/>
    <n v="16.55"/>
    <n v="2"/>
    <n v="0"/>
    <n v="2"/>
    <n v="1"/>
    <x v="3"/>
    <n v="17.95"/>
    <x v="0"/>
    <x v="1"/>
  </r>
  <r>
    <s v="C013"/>
    <n v="34"/>
    <x v="1"/>
    <n v="97.37"/>
    <n v="15.55"/>
    <n v="0"/>
    <n v="1"/>
    <n v="2"/>
    <n v="1.3"/>
    <x v="2"/>
    <n v="16.399999999999999"/>
    <x v="0"/>
    <x v="1"/>
  </r>
  <r>
    <s v="C014"/>
    <n v="49"/>
    <x v="1"/>
    <n v="108.39"/>
    <n v="20.100000000000001"/>
    <n v="0"/>
    <n v="2"/>
    <n v="3"/>
    <n v="0.6"/>
    <x v="2"/>
    <n v="17.11"/>
    <x v="0"/>
    <x v="2"/>
  </r>
  <r>
    <s v="C015"/>
    <n v="25"/>
    <x v="1"/>
    <n v="92.58"/>
    <n v="15.13"/>
    <n v="2"/>
    <n v="2"/>
    <n v="2"/>
    <n v="1.6"/>
    <x v="1"/>
    <n v="17.649999999999999"/>
    <x v="0"/>
    <x v="1"/>
  </r>
  <r>
    <s v="C016"/>
    <n v="38"/>
    <x v="1"/>
    <n v="99.65"/>
    <n v="16.940000000000001"/>
    <n v="1"/>
    <n v="3"/>
    <n v="3"/>
    <n v="2.1"/>
    <x v="1"/>
    <n v="17.059999999999999"/>
    <x v="0"/>
    <x v="0"/>
  </r>
  <r>
    <s v="C017"/>
    <n v="38"/>
    <x v="0"/>
    <n v="98.91"/>
    <n v="19.489999999999998"/>
    <n v="0"/>
    <n v="0"/>
    <n v="3"/>
    <n v="3.1"/>
    <x v="1"/>
    <n v="19.920000000000002"/>
    <x v="1"/>
    <x v="0"/>
  </r>
  <r>
    <s v="C018"/>
    <n v="25"/>
    <x v="0"/>
    <n v="96.42"/>
    <n v="14.69"/>
    <n v="1"/>
    <n v="3"/>
    <n v="2"/>
    <n v="1.2"/>
    <x v="3"/>
    <n v="15.8"/>
    <x v="0"/>
    <x v="1"/>
  </r>
  <r>
    <s v="C019"/>
    <n v="57"/>
    <x v="0"/>
    <n v="109.26"/>
    <n v="20.61"/>
    <n v="3"/>
    <n v="2"/>
    <n v="1"/>
    <n v="2"/>
    <x v="2"/>
    <n v="17.260000000000002"/>
    <x v="0"/>
    <x v="2"/>
  </r>
  <r>
    <s v="C020"/>
    <n v="34"/>
    <x v="1"/>
    <n v="98.22"/>
    <n v="15.49"/>
    <n v="1"/>
    <n v="2"/>
    <n v="0"/>
    <n v="0.8"/>
    <x v="1"/>
    <n v="16.059999999999999"/>
    <x v="0"/>
    <x v="1"/>
  </r>
  <r>
    <s v="C021"/>
    <n v="35"/>
    <x v="0"/>
    <n v="101.02"/>
    <n v="16.760000000000002"/>
    <n v="3"/>
    <n v="2"/>
    <n v="2"/>
    <n v="1.9"/>
    <x v="0"/>
    <n v="16.420000000000002"/>
    <x v="0"/>
    <x v="1"/>
  </r>
  <r>
    <s v="C022"/>
    <n v="56"/>
    <x v="1"/>
    <n v="111.44"/>
    <n v="21.87"/>
    <n v="4"/>
    <n v="1"/>
    <n v="2"/>
    <n v="1.9"/>
    <x v="2"/>
    <n v="17.61"/>
    <x v="0"/>
    <x v="2"/>
  </r>
  <r>
    <s v="C023"/>
    <n v="46"/>
    <x v="1"/>
    <n v="103.85"/>
    <n v="19.47"/>
    <n v="2"/>
    <n v="4"/>
    <n v="3"/>
    <n v="2.9"/>
    <x v="2"/>
    <n v="18.05"/>
    <x v="0"/>
    <x v="0"/>
  </r>
  <r>
    <s v="C024"/>
    <n v="35"/>
    <x v="0"/>
    <n v="102.67"/>
    <n v="13.79"/>
    <n v="4"/>
    <n v="1"/>
    <n v="1"/>
    <n v="2"/>
    <x v="1"/>
    <n v="13.08"/>
    <x v="0"/>
    <x v="1"/>
  </r>
  <r>
    <s v="C025"/>
    <n v="52"/>
    <x v="1"/>
    <n v="107.91"/>
    <n v="19.27"/>
    <n v="4"/>
    <n v="0"/>
    <n v="0"/>
    <n v="0.8"/>
    <x v="2"/>
    <n v="16.55"/>
    <x v="0"/>
    <x v="2"/>
  </r>
  <r>
    <s v="C026"/>
    <n v="30"/>
    <x v="0"/>
    <n v="96.67"/>
    <n v="15.72"/>
    <n v="3"/>
    <n v="1"/>
    <n v="2"/>
    <n v="1.2"/>
    <x v="3"/>
    <n v="16.82"/>
    <x v="0"/>
    <x v="1"/>
  </r>
  <r>
    <s v="C027"/>
    <n v="35"/>
    <x v="1"/>
    <n v="101.41"/>
    <n v="19.45"/>
    <n v="0"/>
    <n v="4"/>
    <n v="2"/>
    <n v="1.9"/>
    <x v="0"/>
    <n v="18.91"/>
    <x v="1"/>
    <x v="1"/>
  </r>
  <r>
    <s v="C028"/>
    <n v="32"/>
    <x v="0"/>
    <n v="102.28"/>
    <n v="11.75"/>
    <n v="2"/>
    <n v="1"/>
    <n v="1"/>
    <n v="1.3"/>
    <x v="2"/>
    <n v="11.23"/>
    <x v="0"/>
    <x v="1"/>
  </r>
  <r>
    <s v="C029"/>
    <n v="46"/>
    <x v="1"/>
    <n v="105.06"/>
    <n v="17.260000000000002"/>
    <n v="4"/>
    <n v="1"/>
    <n v="2"/>
    <n v="0.8"/>
    <x v="1"/>
    <n v="15.64"/>
    <x v="0"/>
    <x v="0"/>
  </r>
  <r>
    <s v="C030"/>
    <n v="43"/>
    <x v="1"/>
    <n v="103.22"/>
    <n v="20.74"/>
    <n v="2"/>
    <n v="2"/>
    <n v="3"/>
    <n v="2.1"/>
    <x v="0"/>
    <n v="19.47"/>
    <x v="1"/>
    <x v="0"/>
  </r>
  <r>
    <s v="C031"/>
    <n v="46"/>
    <x v="0"/>
    <n v="105.42"/>
    <n v="20.23"/>
    <n v="4"/>
    <n v="0"/>
    <n v="2"/>
    <n v="2.2999999999999998"/>
    <x v="4"/>
    <n v="18.2"/>
    <x v="0"/>
    <x v="0"/>
  </r>
  <r>
    <s v="C032"/>
    <n v="32"/>
    <x v="1"/>
    <n v="97.29"/>
    <n v="12.89"/>
    <n v="4"/>
    <n v="2"/>
    <n v="2"/>
    <n v="1.3"/>
    <x v="1"/>
    <n v="13.62"/>
    <x v="0"/>
    <x v="1"/>
  </r>
  <r>
    <s v="C033"/>
    <n v="46"/>
    <x v="1"/>
    <n v="106.22"/>
    <n v="19.48"/>
    <n v="4"/>
    <n v="3"/>
    <n v="0"/>
    <n v="0.7"/>
    <x v="0"/>
    <n v="17.27"/>
    <x v="0"/>
    <x v="0"/>
  </r>
  <r>
    <s v="C034"/>
    <n v="56"/>
    <x v="0"/>
    <n v="114.63"/>
    <n v="20.11"/>
    <n v="2"/>
    <n v="1"/>
    <n v="0"/>
    <n v="0.8"/>
    <x v="4"/>
    <n v="15.3"/>
    <x v="0"/>
    <x v="2"/>
  </r>
  <r>
    <s v="C035"/>
    <n v="30"/>
    <x v="0"/>
    <n v="93.15"/>
    <n v="14.24"/>
    <n v="1"/>
    <n v="1"/>
    <n v="2"/>
    <n v="1.3"/>
    <x v="1"/>
    <n v="16.41"/>
    <x v="0"/>
    <x v="1"/>
  </r>
  <r>
    <s v="C036"/>
    <n v="44"/>
    <x v="0"/>
    <n v="102.36"/>
    <n v="19.600000000000001"/>
    <n v="1"/>
    <n v="2"/>
    <n v="0"/>
    <n v="0.9"/>
    <x v="4"/>
    <n v="18.71"/>
    <x v="1"/>
    <x v="0"/>
  </r>
  <r>
    <s v="C037"/>
    <n v="43"/>
    <x v="0"/>
    <n v="105.34"/>
    <n v="14.14"/>
    <n v="4"/>
    <n v="3"/>
    <n v="0"/>
    <n v="0.8"/>
    <x v="2"/>
    <n v="12.74"/>
    <x v="0"/>
    <x v="0"/>
  </r>
  <r>
    <s v="C038"/>
    <n v="31"/>
    <x v="0"/>
    <n v="96.26"/>
    <n v="17.63"/>
    <n v="3"/>
    <n v="3"/>
    <n v="2"/>
    <n v="1.7"/>
    <x v="2"/>
    <n v="19.03"/>
    <x v="1"/>
    <x v="1"/>
  </r>
  <r>
    <s v="C039"/>
    <n v="28"/>
    <x v="1"/>
    <n v="97.25"/>
    <n v="14.98"/>
    <n v="3"/>
    <n v="4"/>
    <n v="3"/>
    <n v="3.2"/>
    <x v="1"/>
    <n v="15.84"/>
    <x v="0"/>
    <x v="1"/>
  </r>
  <r>
    <s v="C040"/>
    <n v="48"/>
    <x v="1"/>
    <n v="108.23"/>
    <n v="21"/>
    <n v="3"/>
    <n v="4"/>
    <n v="0"/>
    <n v="0.6"/>
    <x v="1"/>
    <n v="17.93"/>
    <x v="0"/>
    <x v="0"/>
  </r>
  <r>
    <s v="C041"/>
    <n v="27"/>
    <x v="1"/>
    <n v="97"/>
    <n v="15.12"/>
    <n v="4"/>
    <n v="0"/>
    <n v="1"/>
    <n v="1.7"/>
    <x v="3"/>
    <n v="16.07"/>
    <x v="0"/>
    <x v="1"/>
  </r>
  <r>
    <s v="C042"/>
    <n v="45"/>
    <x v="1"/>
    <n v="107.27"/>
    <n v="22.7"/>
    <n v="4"/>
    <n v="0"/>
    <n v="0"/>
    <n v="0.8"/>
    <x v="0"/>
    <n v="19.73"/>
    <x v="1"/>
    <x v="0"/>
  </r>
  <r>
    <s v="C043"/>
    <n v="54"/>
    <x v="1"/>
    <n v="112.46"/>
    <n v="21.36"/>
    <n v="2"/>
    <n v="0"/>
    <n v="1"/>
    <n v="1"/>
    <x v="1"/>
    <n v="16.89"/>
    <x v="0"/>
    <x v="2"/>
  </r>
  <r>
    <s v="C044"/>
    <n v="40"/>
    <x v="1"/>
    <n v="103.32"/>
    <n v="17.41"/>
    <n v="1"/>
    <n v="0"/>
    <n v="2"/>
    <n v="2"/>
    <x v="2"/>
    <n v="16.309999999999999"/>
    <x v="0"/>
    <x v="0"/>
  </r>
  <r>
    <s v="C045"/>
    <n v="52"/>
    <x v="0"/>
    <n v="107.31"/>
    <n v="17.34"/>
    <n v="1"/>
    <n v="3"/>
    <n v="0"/>
    <n v="0.5"/>
    <x v="3"/>
    <n v="15.06"/>
    <x v="0"/>
    <x v="2"/>
  </r>
  <r>
    <s v="C046"/>
    <n v="34"/>
    <x v="1"/>
    <n v="99.12"/>
    <n v="17.43"/>
    <n v="3"/>
    <n v="4"/>
    <n v="3"/>
    <n v="1.6"/>
    <x v="0"/>
    <n v="17.739999999999998"/>
    <x v="0"/>
    <x v="1"/>
  </r>
  <r>
    <s v="C047"/>
    <n v="27"/>
    <x v="1"/>
    <n v="93.16"/>
    <n v="15.53"/>
    <n v="2"/>
    <n v="2"/>
    <n v="0"/>
    <n v="0.8"/>
    <x v="1"/>
    <n v="17.89"/>
    <x v="0"/>
    <x v="1"/>
  </r>
  <r>
    <s v="C048"/>
    <n v="55"/>
    <x v="1"/>
    <n v="111.49"/>
    <n v="20.23"/>
    <n v="1"/>
    <n v="0"/>
    <n v="1"/>
    <n v="1.6"/>
    <x v="3"/>
    <n v="16.28"/>
    <x v="0"/>
    <x v="2"/>
  </r>
  <r>
    <s v="C049"/>
    <n v="42"/>
    <x v="0"/>
    <n v="108.71"/>
    <n v="16.2"/>
    <n v="2"/>
    <n v="1"/>
    <n v="3"/>
    <n v="1.1000000000000001"/>
    <x v="3"/>
    <n v="13.71"/>
    <x v="0"/>
    <x v="0"/>
  </r>
  <r>
    <s v="C050"/>
    <n v="36"/>
    <x v="0"/>
    <n v="97.21"/>
    <n v="13.41"/>
    <n v="4"/>
    <n v="3"/>
    <n v="1"/>
    <n v="0.9"/>
    <x v="1"/>
    <n v="14.19"/>
    <x v="0"/>
    <x v="1"/>
  </r>
  <r>
    <s v="C051"/>
    <n v="34"/>
    <x v="0"/>
    <n v="98.46"/>
    <n v="15.38"/>
    <n v="3"/>
    <n v="2"/>
    <n v="2"/>
    <n v="1.2"/>
    <x v="0"/>
    <n v="15.86"/>
    <x v="0"/>
    <x v="1"/>
  </r>
  <r>
    <s v="C052"/>
    <n v="40"/>
    <x v="0"/>
    <n v="100.6"/>
    <n v="17.309999999999999"/>
    <n v="0"/>
    <n v="3"/>
    <n v="0"/>
    <n v="0.6"/>
    <x v="4"/>
    <n v="17.100000000000001"/>
    <x v="0"/>
    <x v="0"/>
  </r>
  <r>
    <s v="C053"/>
    <n v="39"/>
    <x v="0"/>
    <n v="96.54"/>
    <n v="18.239999999999998"/>
    <n v="4"/>
    <n v="3"/>
    <n v="1"/>
    <n v="1.9"/>
    <x v="4"/>
    <n v="19.57"/>
    <x v="1"/>
    <x v="0"/>
  </r>
  <r>
    <s v="C054"/>
    <n v="57"/>
    <x v="1"/>
    <n v="110.58"/>
    <n v="21.99"/>
    <n v="3"/>
    <n v="0"/>
    <n v="0"/>
    <n v="0.9"/>
    <x v="0"/>
    <n v="17.98"/>
    <x v="0"/>
    <x v="2"/>
  </r>
  <r>
    <s v="C055"/>
    <n v="50"/>
    <x v="0"/>
    <n v="114.47"/>
    <n v="18.010000000000002"/>
    <n v="1"/>
    <n v="3"/>
    <n v="0"/>
    <n v="0.6"/>
    <x v="3"/>
    <n v="13.74"/>
    <x v="0"/>
    <x v="2"/>
  </r>
  <r>
    <s v="C056"/>
    <n v="31"/>
    <x v="0"/>
    <n v="96.28"/>
    <n v="16.84"/>
    <n v="4"/>
    <n v="2"/>
    <n v="3"/>
    <n v="0.5"/>
    <x v="2"/>
    <n v="18.170000000000002"/>
    <x v="0"/>
    <x v="1"/>
  </r>
  <r>
    <s v="C057"/>
    <n v="44"/>
    <x v="0"/>
    <n v="104.76"/>
    <n v="18.399999999999999"/>
    <n v="4"/>
    <n v="2"/>
    <n v="1"/>
    <n v="0.7"/>
    <x v="0"/>
    <n v="16.77"/>
    <x v="0"/>
    <x v="0"/>
  </r>
  <r>
    <s v="C058"/>
    <n v="42"/>
    <x v="1"/>
    <n v="105.35"/>
    <n v="19.88"/>
    <n v="1"/>
    <n v="2"/>
    <n v="2"/>
    <n v="2.8"/>
    <x v="2"/>
    <n v="17.91"/>
    <x v="0"/>
    <x v="0"/>
  </r>
  <r>
    <s v="C059"/>
    <n v="59"/>
    <x v="1"/>
    <n v="110.75"/>
    <n v="24.56"/>
    <n v="4"/>
    <n v="4"/>
    <n v="1"/>
    <n v="1.7"/>
    <x v="0"/>
    <n v="20.02"/>
    <x v="1"/>
    <x v="2"/>
  </r>
  <r>
    <s v="C060"/>
    <n v="56"/>
    <x v="1"/>
    <n v="108"/>
    <n v="22.24"/>
    <n v="2"/>
    <n v="4"/>
    <n v="2"/>
    <n v="1.1000000000000001"/>
    <x v="1"/>
    <n v="19.07"/>
    <x v="1"/>
    <x v="2"/>
  </r>
  <r>
    <s v="C061"/>
    <n v="32"/>
    <x v="0"/>
    <n v="98.63"/>
    <n v="17.96"/>
    <n v="0"/>
    <n v="0"/>
    <n v="2"/>
    <n v="2.6"/>
    <x v="3"/>
    <n v="18.46"/>
    <x v="0"/>
    <x v="1"/>
  </r>
  <r>
    <s v="C062"/>
    <n v="47"/>
    <x v="0"/>
    <n v="103.57"/>
    <n v="22.13"/>
    <n v="3"/>
    <n v="2"/>
    <n v="0"/>
    <n v="0.6"/>
    <x v="0"/>
    <n v="20.63"/>
    <x v="1"/>
    <x v="0"/>
  </r>
  <r>
    <s v="C063"/>
    <n v="28"/>
    <x v="1"/>
    <n v="92.72"/>
    <n v="15.7"/>
    <n v="4"/>
    <n v="0"/>
    <n v="1"/>
    <n v="0.5"/>
    <x v="3"/>
    <n v="18.260000000000002"/>
    <x v="0"/>
    <x v="1"/>
  </r>
  <r>
    <s v="C064"/>
    <n v="56"/>
    <x v="1"/>
    <n v="113.3"/>
    <n v="20.45"/>
    <n v="2"/>
    <n v="2"/>
    <n v="2"/>
    <n v="0.5"/>
    <x v="4"/>
    <n v="15.93"/>
    <x v="0"/>
    <x v="2"/>
  </r>
  <r>
    <s v="C065"/>
    <n v="38"/>
    <x v="1"/>
    <n v="104.84"/>
    <n v="19.829999999999998"/>
    <n v="4"/>
    <n v="0"/>
    <n v="0"/>
    <n v="0.8"/>
    <x v="3"/>
    <n v="18.04"/>
    <x v="0"/>
    <x v="0"/>
  </r>
  <r>
    <s v="C066"/>
    <n v="50"/>
    <x v="0"/>
    <n v="104.56"/>
    <n v="21.62"/>
    <n v="4"/>
    <n v="1"/>
    <n v="1"/>
    <n v="2"/>
    <x v="0"/>
    <n v="19.78"/>
    <x v="1"/>
    <x v="2"/>
  </r>
  <r>
    <s v="C067"/>
    <n v="27"/>
    <x v="1"/>
    <n v="97.32"/>
    <n v="16.28"/>
    <n v="2"/>
    <n v="4"/>
    <n v="0"/>
    <n v="0.8"/>
    <x v="0"/>
    <n v="17.190000000000001"/>
    <x v="0"/>
    <x v="1"/>
  </r>
  <r>
    <s v="C068"/>
    <n v="32"/>
    <x v="0"/>
    <n v="103.58"/>
    <n v="15.12"/>
    <n v="4"/>
    <n v="0"/>
    <n v="2"/>
    <n v="1.8"/>
    <x v="2"/>
    <n v="14.09"/>
    <x v="0"/>
    <x v="1"/>
  </r>
  <r>
    <s v="C069"/>
    <n v="53"/>
    <x v="1"/>
    <n v="105.92"/>
    <n v="22.98"/>
    <n v="2"/>
    <n v="0"/>
    <n v="0"/>
    <n v="0.8"/>
    <x v="4"/>
    <n v="20.48"/>
    <x v="1"/>
    <x v="2"/>
  </r>
  <r>
    <s v="C070"/>
    <n v="33"/>
    <x v="1"/>
    <n v="104.76"/>
    <n v="13.89"/>
    <n v="3"/>
    <n v="4"/>
    <n v="0"/>
    <n v="0.5"/>
    <x v="2"/>
    <n v="12.66"/>
    <x v="0"/>
    <x v="1"/>
  </r>
  <r>
    <s v="C071"/>
    <n v="49"/>
    <x v="1"/>
    <n v="108.22"/>
    <n v="19.55"/>
    <n v="1"/>
    <n v="1"/>
    <n v="2"/>
    <n v="1.6"/>
    <x v="2"/>
    <n v="16.690000000000001"/>
    <x v="0"/>
    <x v="2"/>
  </r>
  <r>
    <s v="C072"/>
    <n v="32"/>
    <x v="0"/>
    <n v="97.69"/>
    <n v="18.04"/>
    <n v="3"/>
    <n v="2"/>
    <n v="2"/>
    <n v="2.2000000000000002"/>
    <x v="0"/>
    <n v="18.899999999999999"/>
    <x v="1"/>
    <x v="1"/>
  </r>
  <r>
    <s v="C073"/>
    <n v="52"/>
    <x v="0"/>
    <n v="104.99"/>
    <n v="22.77"/>
    <n v="3"/>
    <n v="2"/>
    <n v="1"/>
    <n v="1.1000000000000001"/>
    <x v="1"/>
    <n v="20.66"/>
    <x v="1"/>
    <x v="2"/>
  </r>
  <r>
    <s v="C074"/>
    <n v="25"/>
    <x v="1"/>
    <n v="88.93"/>
    <n v="15.5"/>
    <n v="3"/>
    <n v="0"/>
    <n v="3"/>
    <n v="3.8"/>
    <x v="1"/>
    <n v="19.600000000000001"/>
    <x v="1"/>
    <x v="1"/>
  </r>
  <r>
    <s v="C075"/>
    <n v="41"/>
    <x v="0"/>
    <n v="105.5"/>
    <n v="20.18"/>
    <n v="1"/>
    <n v="4"/>
    <n v="3"/>
    <n v="1.9"/>
    <x v="3"/>
    <n v="18.13"/>
    <x v="0"/>
    <x v="0"/>
  </r>
  <r>
    <s v="C076"/>
    <n v="38"/>
    <x v="1"/>
    <n v="101.47"/>
    <n v="15.96"/>
    <n v="1"/>
    <n v="1"/>
    <n v="0"/>
    <n v="0.8"/>
    <x v="0"/>
    <n v="15.5"/>
    <x v="0"/>
    <x v="0"/>
  </r>
  <r>
    <s v="C077"/>
    <n v="46"/>
    <x v="1"/>
    <n v="103.84"/>
    <n v="17.13"/>
    <n v="0"/>
    <n v="4"/>
    <n v="1"/>
    <n v="0.7"/>
    <x v="2"/>
    <n v="15.89"/>
    <x v="0"/>
    <x v="0"/>
  </r>
  <r>
    <s v="C078"/>
    <n v="45"/>
    <x v="1"/>
    <n v="103.74"/>
    <n v="18.21"/>
    <n v="1"/>
    <n v="3"/>
    <n v="0"/>
    <n v="0.5"/>
    <x v="2"/>
    <n v="16.920000000000002"/>
    <x v="0"/>
    <x v="0"/>
  </r>
  <r>
    <s v="C079"/>
    <n v="48"/>
    <x v="1"/>
    <n v="101.32"/>
    <n v="21.93"/>
    <n v="4"/>
    <n v="2"/>
    <n v="2"/>
    <n v="2.8"/>
    <x v="1"/>
    <n v="21.36"/>
    <x v="1"/>
    <x v="0"/>
  </r>
  <r>
    <s v="C080"/>
    <n v="54"/>
    <x v="0"/>
    <n v="109.83"/>
    <n v="21.35"/>
    <n v="3"/>
    <n v="2"/>
    <n v="1"/>
    <n v="0.7"/>
    <x v="3"/>
    <n v="17.7"/>
    <x v="0"/>
    <x v="2"/>
  </r>
  <r>
    <s v="C081"/>
    <n v="49"/>
    <x v="1"/>
    <n v="112.98"/>
    <n v="18.22"/>
    <n v="3"/>
    <n v="1"/>
    <n v="1"/>
    <n v="1.7"/>
    <x v="0"/>
    <n v="14.27"/>
    <x v="0"/>
    <x v="2"/>
  </r>
  <r>
    <s v="C082"/>
    <n v="45"/>
    <x v="0"/>
    <n v="104.87"/>
    <n v="19.66"/>
    <n v="1"/>
    <n v="4"/>
    <n v="2"/>
    <n v="1.1000000000000001"/>
    <x v="4"/>
    <n v="17.88"/>
    <x v="0"/>
    <x v="0"/>
  </r>
  <r>
    <s v="C083"/>
    <n v="30"/>
    <x v="1"/>
    <n v="100.81"/>
    <n v="14.39"/>
    <n v="2"/>
    <n v="4"/>
    <n v="2"/>
    <n v="2.6"/>
    <x v="0"/>
    <n v="14.16"/>
    <x v="0"/>
    <x v="1"/>
  </r>
  <r>
    <s v="C084"/>
    <n v="29"/>
    <x v="0"/>
    <n v="101.16"/>
    <n v="14.14"/>
    <n v="2"/>
    <n v="2"/>
    <n v="3"/>
    <n v="1.3"/>
    <x v="0"/>
    <n v="13.82"/>
    <x v="0"/>
    <x v="1"/>
  </r>
  <r>
    <s v="C085"/>
    <n v="57"/>
    <x v="0"/>
    <n v="115.19"/>
    <n v="20.76"/>
    <n v="1"/>
    <n v="4"/>
    <n v="0"/>
    <n v="1"/>
    <x v="0"/>
    <n v="15.65"/>
    <x v="0"/>
    <x v="2"/>
  </r>
  <r>
    <s v="C086"/>
    <n v="56"/>
    <x v="1"/>
    <n v="110.72"/>
    <n v="20.149999999999999"/>
    <n v="0"/>
    <n v="1"/>
    <n v="1"/>
    <n v="2"/>
    <x v="4"/>
    <n v="16.440000000000001"/>
    <x v="0"/>
    <x v="2"/>
  </r>
  <r>
    <s v="C087"/>
    <n v="56"/>
    <x v="0"/>
    <n v="106.73"/>
    <n v="24.09"/>
    <n v="0"/>
    <n v="1"/>
    <n v="3"/>
    <n v="1.7"/>
    <x v="4"/>
    <n v="21.15"/>
    <x v="1"/>
    <x v="2"/>
  </r>
  <r>
    <s v="C088"/>
    <n v="25"/>
    <x v="0"/>
    <n v="99.72"/>
    <n v="14.9"/>
    <n v="4"/>
    <n v="2"/>
    <n v="3"/>
    <n v="2.2000000000000002"/>
    <x v="1"/>
    <n v="14.98"/>
    <x v="0"/>
    <x v="1"/>
  </r>
  <r>
    <s v="C089"/>
    <n v="30"/>
    <x v="0"/>
    <n v="96.45"/>
    <n v="14.77"/>
    <n v="4"/>
    <n v="2"/>
    <n v="0"/>
    <n v="0.6"/>
    <x v="3"/>
    <n v="15.88"/>
    <x v="0"/>
    <x v="1"/>
  </r>
  <r>
    <s v="C090"/>
    <n v="53"/>
    <x v="1"/>
    <n v="106.44"/>
    <n v="20.73"/>
    <n v="4"/>
    <n v="3"/>
    <n v="2"/>
    <n v="2"/>
    <x v="0"/>
    <n v="18.3"/>
    <x v="0"/>
    <x v="2"/>
  </r>
  <r>
    <s v="C091"/>
    <n v="29"/>
    <x v="0"/>
    <n v="97.77"/>
    <n v="15.72"/>
    <n v="2"/>
    <n v="0"/>
    <n v="0"/>
    <n v="0.9"/>
    <x v="0"/>
    <n v="16.45"/>
    <x v="0"/>
    <x v="1"/>
  </r>
  <r>
    <s v="C092"/>
    <n v="58"/>
    <x v="1"/>
    <n v="113.49"/>
    <n v="25.26"/>
    <n v="0"/>
    <n v="4"/>
    <n v="3"/>
    <n v="3"/>
    <x v="4"/>
    <n v="19.61"/>
    <x v="1"/>
    <x v="2"/>
  </r>
  <r>
    <s v="C093"/>
    <n v="26"/>
    <x v="1"/>
    <n v="92.08"/>
    <n v="15.29"/>
    <n v="4"/>
    <n v="1"/>
    <n v="2"/>
    <n v="2.6"/>
    <x v="2"/>
    <n v="18.03"/>
    <x v="0"/>
    <x v="1"/>
  </r>
  <r>
    <s v="C094"/>
    <n v="25"/>
    <x v="0"/>
    <n v="96.42"/>
    <n v="15.34"/>
    <n v="4"/>
    <n v="3"/>
    <n v="2"/>
    <n v="0.9"/>
    <x v="2"/>
    <n v="16.5"/>
    <x v="0"/>
    <x v="1"/>
  </r>
  <r>
    <s v="C095"/>
    <n v="59"/>
    <x v="0"/>
    <n v="108.1"/>
    <n v="19.25"/>
    <n v="1"/>
    <n v="0"/>
    <n v="1"/>
    <n v="1"/>
    <x v="0"/>
    <n v="16.47"/>
    <x v="0"/>
    <x v="2"/>
  </r>
  <r>
    <s v="C096"/>
    <n v="50"/>
    <x v="0"/>
    <n v="109.15"/>
    <n v="22.09"/>
    <n v="1"/>
    <n v="4"/>
    <n v="0"/>
    <n v="0.6"/>
    <x v="1"/>
    <n v="18.54"/>
    <x v="1"/>
    <x v="2"/>
  </r>
  <r>
    <s v="C097"/>
    <n v="48"/>
    <x v="1"/>
    <n v="107.71"/>
    <n v="19.079999999999998"/>
    <n v="0"/>
    <n v="2"/>
    <n v="2"/>
    <n v="1.8"/>
    <x v="2"/>
    <n v="16.45"/>
    <x v="0"/>
    <x v="0"/>
  </r>
  <r>
    <s v="C098"/>
    <n v="57"/>
    <x v="1"/>
    <n v="112.41"/>
    <n v="21.55"/>
    <n v="2"/>
    <n v="4"/>
    <n v="0"/>
    <n v="0.9"/>
    <x v="0"/>
    <n v="17.05"/>
    <x v="0"/>
    <x v="2"/>
  </r>
  <r>
    <s v="C099"/>
    <n v="45"/>
    <x v="1"/>
    <n v="110.12"/>
    <n v="18.510000000000002"/>
    <n v="0"/>
    <n v="2"/>
    <n v="0"/>
    <n v="0.9"/>
    <x v="3"/>
    <n v="15.26"/>
    <x v="0"/>
    <x v="0"/>
  </r>
  <r>
    <s v="C100"/>
    <n v="49"/>
    <x v="1"/>
    <n v="106.6"/>
    <n v="21.21"/>
    <n v="0"/>
    <n v="0"/>
    <n v="2"/>
    <n v="2.5"/>
    <x v="3"/>
    <n v="18.66"/>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N4" firstHeaderRow="0" firstDataRow="1" firstDataCol="0"/>
  <pivotFields count="13">
    <pivotField showAll="0"/>
    <pivotField showAll="0"/>
    <pivotField showAll="0">
      <items count="3">
        <item x="0"/>
        <item x="1"/>
        <item t="default"/>
      </items>
    </pivotField>
    <pivotField dataField="1" showAll="0"/>
    <pivotField dataField="1" showAll="0"/>
    <pivotField showAll="0"/>
    <pivotField showAll="0"/>
    <pivotField showAll="0"/>
    <pivotField showAll="0"/>
    <pivotField showAll="0">
      <items count="6">
        <item x="1"/>
        <item x="2"/>
        <item x="3"/>
        <item x="0"/>
        <item x="4"/>
        <item t="default"/>
      </items>
    </pivotField>
    <pivotField dataField="1" showAll="0"/>
    <pivotField showAll="0"/>
    <pivotField showAll="0"/>
  </pivotFields>
  <rowItems count="1">
    <i/>
  </rowItems>
  <colFields count="1">
    <field x="-2"/>
  </colFields>
  <colItems count="3">
    <i>
      <x/>
    </i>
    <i i="1">
      <x v="1"/>
    </i>
    <i i="2">
      <x v="2"/>
    </i>
  </colItems>
  <dataFields count="3">
    <dataField name="Average of Height_cm" fld="3" subtotal="average" baseField="0" baseItem="1538711984" numFmtId="2"/>
    <dataField name="Average of BMI" fld="10" subtotal="average" baseField="0" baseItem="1" numFmtId="2"/>
    <dataField name="Average of Weight_kg" fld="4"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34:C37"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pivotField dataField="1" showAll="0"/>
    <pivotField showAll="0">
      <items count="6">
        <item x="1"/>
        <item x="2"/>
        <item x="3"/>
        <item x="0"/>
        <item x="4"/>
        <item t="default"/>
      </items>
    </pivotField>
    <pivotField showAll="0"/>
    <pivotField showAll="0">
      <items count="4">
        <item x="1"/>
        <item m="1" x="2"/>
        <item x="0"/>
        <item t="default"/>
      </items>
    </pivotField>
    <pivotField axis="axisRow" showAll="0">
      <items count="4">
        <item x="1"/>
        <item x="2"/>
        <item x="0"/>
        <item t="default"/>
      </items>
    </pivotField>
  </pivotFields>
  <rowFields count="1">
    <field x="12"/>
  </rowFields>
  <rowItems count="3">
    <i>
      <x/>
    </i>
    <i>
      <x v="1"/>
    </i>
    <i>
      <x v="2"/>
    </i>
  </rowItems>
  <colFields count="1">
    <field x="-2"/>
  </colFields>
  <colItems count="2">
    <i>
      <x/>
    </i>
    <i i="1">
      <x v="1"/>
    </i>
  </colItems>
  <dataFields count="2">
    <dataField name="Average of Daily_Sugar_Drinks" fld="7" subtotal="average" baseField="11" baseItem="0" numFmtId="2"/>
    <dataField name="Average of ScreenTime_Hours" fld="8" subtotal="average" baseField="11" baseItem="0" numFmtId="2"/>
  </dataFields>
  <chartFormats count="4">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7">
  <location ref="A27:C31" firstHeaderRow="0" firstDataRow="1" firstDataCol="1"/>
  <pivotFields count="13">
    <pivotField showAll="0"/>
    <pivotField showAll="0"/>
    <pivotField showAll="0">
      <items count="3">
        <item x="0"/>
        <item x="1"/>
        <item t="default"/>
      </items>
    </pivotField>
    <pivotField showAll="0"/>
    <pivotField showAll="0"/>
    <pivotField dataField="1" showAll="0"/>
    <pivotField dataField="1" showAll="0"/>
    <pivotField showAll="0"/>
    <pivotField showAll="0"/>
    <pivotField showAll="0">
      <items count="6">
        <item x="1"/>
        <item x="2"/>
        <item x="3"/>
        <item x="0"/>
        <item x="4"/>
        <item t="default"/>
      </items>
    </pivotField>
    <pivotField showAll="0"/>
    <pivotField showAll="0"/>
    <pivotField axis="axisRow" showAll="0">
      <items count="4">
        <item x="1"/>
        <item x="2"/>
        <item x="0"/>
        <item t="default"/>
      </items>
    </pivotField>
  </pivotFields>
  <rowFields count="1">
    <field x="12"/>
  </rowFields>
  <rowItems count="4">
    <i>
      <x/>
    </i>
    <i>
      <x v="1"/>
    </i>
    <i>
      <x v="2"/>
    </i>
    <i t="grand">
      <x/>
    </i>
  </rowItems>
  <colFields count="1">
    <field x="-2"/>
  </colFields>
  <colItems count="2">
    <i>
      <x/>
    </i>
    <i i="1">
      <x v="1"/>
    </i>
  </colItems>
  <dataFields count="2">
    <dataField name="Average of Daily_Veggie_Servings" fld="6" subtotal="average" baseField="12" baseItem="0" numFmtId="2"/>
    <dataField name="Average of Daily_Fruit_Servings" fld="5" subtotal="average" baseField="12" baseItem="0" numFmtId="2"/>
  </dataFields>
  <chartFormats count="6">
    <chartFormat chart="1" format="12"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location ref="A10:C14" firstHeaderRow="1" firstDataRow="2" firstDataCol="1"/>
  <pivotFields count="13">
    <pivotField showAll="0"/>
    <pivotField showAll="0"/>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dataField="1" showAll="0"/>
    <pivotField axis="axisCol" showAll="0">
      <items count="4">
        <item m="1" x="2"/>
        <item x="0"/>
        <item x="1"/>
        <item t="default"/>
      </items>
    </pivotField>
    <pivotField axis="axisRow" showAll="0">
      <items count="4">
        <item x="1"/>
        <item x="2"/>
        <item x="0"/>
        <item t="default"/>
      </items>
    </pivotField>
  </pivotFields>
  <rowFields count="1">
    <field x="12"/>
  </rowFields>
  <rowItems count="3">
    <i>
      <x/>
    </i>
    <i>
      <x v="1"/>
    </i>
    <i>
      <x v="2"/>
    </i>
  </rowItems>
  <colFields count="1">
    <field x="11"/>
  </colFields>
  <colItems count="2">
    <i>
      <x v="1"/>
    </i>
    <i>
      <x v="2"/>
    </i>
  </colItems>
  <dataFields count="1">
    <dataField name="Average of BMI" fld="10"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5">
  <location ref="A3:C8" firstHeaderRow="1" firstDataRow="2" firstDataCol="1"/>
  <pivotFields count="13">
    <pivotField showAll="0"/>
    <pivotField showAll="0"/>
    <pivotField showAll="0">
      <items count="3">
        <item x="0"/>
        <item x="1"/>
        <item t="default"/>
      </items>
    </pivotField>
    <pivotField showAll="0"/>
    <pivotField showAll="0"/>
    <pivotField showAll="0"/>
    <pivotField showAll="0"/>
    <pivotField showAll="0"/>
    <pivotField showAll="0"/>
    <pivotField showAll="0">
      <items count="6">
        <item x="1"/>
        <item x="2"/>
        <item x="3"/>
        <item x="0"/>
        <item x="4"/>
        <item t="default"/>
      </items>
    </pivotField>
    <pivotField showAll="0"/>
    <pivotField axis="axisCol" dataField="1" showAll="0">
      <items count="4">
        <item m="1" x="2"/>
        <item x="0"/>
        <item x="1"/>
        <item t="default"/>
      </items>
    </pivotField>
    <pivotField axis="axisRow" showAll="0">
      <items count="4">
        <item x="1"/>
        <item x="2"/>
        <item x="0"/>
        <item t="default"/>
      </items>
    </pivotField>
  </pivotFields>
  <rowFields count="1">
    <field x="12"/>
  </rowFields>
  <rowItems count="4">
    <i>
      <x/>
    </i>
    <i>
      <x v="1"/>
    </i>
    <i>
      <x v="2"/>
    </i>
    <i t="grand">
      <x/>
    </i>
  </rowItems>
  <colFields count="1">
    <field x="11"/>
  </colFields>
  <colItems count="2">
    <i>
      <x v="1"/>
    </i>
    <i>
      <x v="2"/>
    </i>
  </colItems>
  <dataFields count="1">
    <dataField name="Count of BMI Index" fld="11" subtotal="count" baseField="0" baseItem="0"/>
  </dataFields>
  <chartFormats count="4">
    <chartFormat chart="2" format="9" series="1">
      <pivotArea type="data" outline="0" fieldPosition="0">
        <references count="2">
          <reference field="4294967294" count="1" selected="0">
            <x v="0"/>
          </reference>
          <reference field="11" count="1" selected="0">
            <x v="1"/>
          </reference>
        </references>
      </pivotArea>
    </chartFormat>
    <chartFormat chart="4" format="16" series="1">
      <pivotArea type="data" outline="0" fieldPosition="0">
        <references count="2">
          <reference field="4294967294" count="1" selected="0">
            <x v="0"/>
          </reference>
          <reference field="11" count="1" selected="0">
            <x v="2"/>
          </reference>
        </references>
      </pivotArea>
    </chartFormat>
    <chartFormat chart="4" format="17"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1">
  <location ref="G2:I9" firstHeaderRow="1" firstDataRow="2" firstDataCol="1"/>
  <pivotFields count="13">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6">
        <item x="1"/>
        <item x="2"/>
        <item x="3"/>
        <item x="0"/>
        <item x="4"/>
        <item t="default"/>
      </items>
    </pivotField>
    <pivotField showAll="0"/>
    <pivotField axis="axisCol" dataField="1" showAll="0">
      <items count="4">
        <item x="1"/>
        <item h="1" m="1" x="2"/>
        <item x="0"/>
        <item t="default"/>
      </items>
    </pivotField>
    <pivotField showAll="0"/>
  </pivotFields>
  <rowFields count="1">
    <field x="9"/>
  </rowFields>
  <rowItems count="6">
    <i>
      <x/>
    </i>
    <i>
      <x v="1"/>
    </i>
    <i>
      <x v="2"/>
    </i>
    <i>
      <x v="3"/>
    </i>
    <i>
      <x v="4"/>
    </i>
    <i t="grand">
      <x/>
    </i>
  </rowItems>
  <colFields count="1">
    <field x="11"/>
  </colFields>
  <colItems count="2">
    <i>
      <x/>
    </i>
    <i>
      <x v="2"/>
    </i>
  </colItems>
  <dataFields count="1">
    <dataField name="Count of BMI Index" fld="11" subtotal="count" baseField="0" baseItem="0"/>
  </dataFields>
  <chartFormats count="5">
    <chartFormat chart="8" format="2" series="1">
      <pivotArea type="data" outline="0" fieldPosition="0">
        <references count="2">
          <reference field="4294967294" count="1" selected="0">
            <x v="0"/>
          </reference>
          <reference field="11" count="1" selected="0">
            <x v="0"/>
          </reference>
        </references>
      </pivotArea>
    </chartFormat>
    <chartFormat chart="8" format="3" series="1">
      <pivotArea type="data" outline="0" fieldPosition="0">
        <references count="2">
          <reference field="4294967294" count="1" selected="0">
            <x v="0"/>
          </reference>
          <reference field="11" count="1" selected="0">
            <x v="2"/>
          </reference>
        </references>
      </pivotArea>
    </chartFormat>
    <chartFormat chart="8" format="4" series="1">
      <pivotArea type="data" outline="0" fieldPosition="0">
        <references count="1">
          <reference field="4294967294" count="1" selected="0">
            <x v="0"/>
          </reference>
        </references>
      </pivotArea>
    </chartFormat>
    <chartFormat chart="10" format="9" series="1">
      <pivotArea type="data" outline="0" fieldPosition="0">
        <references count="2">
          <reference field="4294967294" count="1" selected="0">
            <x v="0"/>
          </reference>
          <reference field="11" count="1" selected="0">
            <x v="0"/>
          </reference>
        </references>
      </pivotArea>
    </chartFormat>
    <chartFormat chart="10" format="10"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5">
  <location ref="A43:E49" firstHeaderRow="1" firstDataRow="3" firstDataCol="1"/>
  <pivotFields count="13">
    <pivotField showAll="0"/>
    <pivotField showAll="0"/>
    <pivotField showAll="0">
      <items count="3">
        <item x="0"/>
        <item x="1"/>
        <item t="default"/>
      </items>
    </pivotField>
    <pivotField dataField="1" showAll="0"/>
    <pivotField dataField="1" showAll="0"/>
    <pivotField showAll="0"/>
    <pivotField showAll="0"/>
    <pivotField showAll="0"/>
    <pivotField showAll="0"/>
    <pivotField showAll="0">
      <items count="6">
        <item x="1"/>
        <item x="2"/>
        <item x="3"/>
        <item x="0"/>
        <item x="4"/>
        <item t="default"/>
      </items>
    </pivotField>
    <pivotField showAll="0"/>
    <pivotField axis="axisCol" showAll="0">
      <items count="4">
        <item x="1"/>
        <item h="1" m="1" x="2"/>
        <item x="0"/>
        <item t="default"/>
      </items>
    </pivotField>
    <pivotField axis="axisRow" showAll="0">
      <items count="4">
        <item x="1"/>
        <item x="2"/>
        <item x="0"/>
        <item t="default"/>
      </items>
    </pivotField>
  </pivotFields>
  <rowFields count="1">
    <field x="12"/>
  </rowFields>
  <rowItems count="4">
    <i>
      <x/>
    </i>
    <i>
      <x v="1"/>
    </i>
    <i>
      <x v="2"/>
    </i>
    <i t="grand">
      <x/>
    </i>
  </rowItems>
  <colFields count="2">
    <field x="-2"/>
    <field x="11"/>
  </colFields>
  <colItems count="4">
    <i>
      <x/>
      <x/>
    </i>
    <i r="1">
      <x v="2"/>
    </i>
    <i i="1">
      <x v="1"/>
      <x/>
    </i>
    <i r="1" i="1">
      <x v="2"/>
    </i>
  </colItems>
  <dataFields count="2">
    <dataField name="Average of Height_cm" fld="3" subtotal="average" baseField="12" baseItem="0" numFmtId="2"/>
    <dataField name="Average of Weight_kg" fld="4" subtotal="average" baseField="12" baseItem="0" numFmtId="2"/>
  </dataFields>
  <chartFormats count="9">
    <chartFormat chart="12" format="4" series="1">
      <pivotArea type="data" outline="0" fieldPosition="0">
        <references count="2">
          <reference field="4294967294" count="1" selected="0">
            <x v="0"/>
          </reference>
          <reference field="11" count="1" selected="0">
            <x v="0"/>
          </reference>
        </references>
      </pivotArea>
    </chartFormat>
    <chartFormat chart="12" format="5" series="1">
      <pivotArea type="data" outline="0" fieldPosition="0">
        <references count="2">
          <reference field="4294967294" count="1" selected="0">
            <x v="0"/>
          </reference>
          <reference field="11" count="1" selected="0">
            <x v="2"/>
          </reference>
        </references>
      </pivotArea>
    </chartFormat>
    <chartFormat chart="12" format="6" series="1">
      <pivotArea type="data" outline="0" fieldPosition="0">
        <references count="2">
          <reference field="4294967294" count="1" selected="0">
            <x v="1"/>
          </reference>
          <reference field="11" count="1" selected="0">
            <x v="0"/>
          </reference>
        </references>
      </pivotArea>
    </chartFormat>
    <chartFormat chart="12" format="7" series="1">
      <pivotArea type="data" outline="0" fieldPosition="0">
        <references count="2">
          <reference field="4294967294" count="1" selected="0">
            <x v="1"/>
          </reference>
          <reference field="11" count="1" selected="0">
            <x v="2"/>
          </reference>
        </references>
      </pivotArea>
    </chartFormat>
    <chartFormat chart="12" format="8" series="1">
      <pivotArea type="data" outline="0" fieldPosition="0">
        <references count="2">
          <reference field="4294967294" count="1" selected="0">
            <x v="1"/>
          </reference>
          <reference field="11" count="0" selected="0" defaultSubtotal="1" sumSubtotal="1" countASubtotal="1" avgSubtotal="1" maxSubtotal="1" minSubtotal="1" productSubtotal="1" countSubtotal="1" stdDevSubtotal="1" stdDevPSubtotal="1" varSubtotal="1" varPSubtotal="1"/>
        </references>
      </pivotArea>
    </chartFormat>
    <chartFormat chart="14" format="17" series="1">
      <pivotArea type="data" outline="0" fieldPosition="0">
        <references count="2">
          <reference field="4294967294" count="1" selected="0">
            <x v="0"/>
          </reference>
          <reference field="11" count="1" selected="0">
            <x v="0"/>
          </reference>
        </references>
      </pivotArea>
    </chartFormat>
    <chartFormat chart="14" format="18" series="1">
      <pivotArea type="data" outline="0" fieldPosition="0">
        <references count="2">
          <reference field="4294967294" count="1" selected="0">
            <x v="0"/>
          </reference>
          <reference field="11" count="1" selected="0">
            <x v="2"/>
          </reference>
        </references>
      </pivotArea>
    </chartFormat>
    <chartFormat chart="14" format="19" series="1">
      <pivotArea type="data" outline="0" fieldPosition="0">
        <references count="2">
          <reference field="4294967294" count="1" selected="0">
            <x v="1"/>
          </reference>
          <reference field="11" count="1" selected="0">
            <x v="0"/>
          </reference>
        </references>
      </pivotArea>
    </chartFormat>
    <chartFormat chart="14" format="20" series="1">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3">
      <queryTableField id="1" name="ChildID" tableColumnId="27"/>
      <queryTableField id="2" name="Age_Months" tableColumnId="28"/>
      <queryTableField id="3" name="Gender" tableColumnId="29"/>
      <queryTableField id="4" name="Height_cm" tableColumnId="30"/>
      <queryTableField id="5" name="Weight_kg" tableColumnId="31"/>
      <queryTableField id="6" name="Daily_Fruit_Servings" tableColumnId="32"/>
      <queryTableField id="7" name="Daily_Veggie_Servings" tableColumnId="33"/>
      <queryTableField id="8" name="Daily_Sugar_Drinks" tableColumnId="34"/>
      <queryTableField id="9" name="ScreenTime_Hours" tableColumnId="35"/>
      <queryTableField id="10" name="Region" tableColumnId="36"/>
      <queryTableField id="11" name="BMI" tableColumnId="37"/>
      <queryTableField id="12" name="BMI Index" tableColumnId="38"/>
      <queryTableField id="13" name="Age Group" tableColumnId="39"/>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4">
    <queryTableFields count="13">
      <queryTableField id="1" name="ChildID" tableColumnId="27"/>
      <queryTableField id="2" name="Age_Months" tableColumnId="28"/>
      <queryTableField id="3" name="Gender" tableColumnId="29"/>
      <queryTableField id="4" name="Height_cm" tableColumnId="30"/>
      <queryTableField id="5" name="Weight_kg" tableColumnId="31"/>
      <queryTableField id="6" name="Daily_Fruit_Servings" tableColumnId="32"/>
      <queryTableField id="7" name="Daily_Veggie_Servings" tableColumnId="33"/>
      <queryTableField id="8" name="Daily_Sugar_Drinks" tableColumnId="34"/>
      <queryTableField id="9" name="ScreenTime_Hours" tableColumnId="35"/>
      <queryTableField id="10" name="Region" tableColumnId="36"/>
      <queryTableField id="11" name="BMI" tableColumnId="37"/>
      <queryTableField id="12" name="BMI Index" tableColumnId="38"/>
      <queryTableField id="13" name="Age Group"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10"/>
    <pivotTable tabId="7" name="PivotTable1"/>
    <pivotTable tabId="7" name="PivotTable2"/>
    <pivotTable tabId="7" name="PivotTable3"/>
    <pivotTable tabId="7" name="PivotTable5"/>
    <pivotTable tabId="7" name="PivotTable6"/>
    <pivotTable tabId="7"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10"/>
    <pivotTable tabId="7" name="PivotTable1"/>
    <pivotTable tabId="7" name="PivotTable2"/>
    <pivotTable tabId="7" name="PivotTable3"/>
    <pivotTable tabId="7" name="PivotTable5"/>
    <pivotTable tabId="7" name="PivotTable6"/>
    <pivotTable tabId="7" name="PivotTable8"/>
  </pivotTables>
  <data>
    <tabular pivotCacheId="1">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MI_Index" sourceName="BMI Index">
  <pivotTables>
    <pivotTable tabId="7" name="PivotTable6"/>
  </pivotTables>
  <data>
    <tabular pivotCacheId="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Region" cache="Slicer_Region" caption="Region" rowHeight="274320"/>
  <slicer name="BMI Index" cache="Slicer_BMI_Index" caption="BMI Index"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Sheet23" displayName="Sheet23" ref="A1:M101" tableType="queryTable" totalsRowShown="0">
  <autoFilter ref="A1:M101"/>
  <tableColumns count="13">
    <tableColumn id="27" uniqueName="27" name="ChildID" queryTableFieldId="1" dataDxfId="25"/>
    <tableColumn id="28" uniqueName="28" name="Age_Months" queryTableFieldId="2" dataDxfId="24"/>
    <tableColumn id="29" uniqueName="29" name="Gender" queryTableFieldId="3" dataDxfId="23"/>
    <tableColumn id="30" uniqueName="30" name="Height_cm" queryTableFieldId="4" dataDxfId="22"/>
    <tableColumn id="31" uniqueName="31" name="Weight_kg" queryTableFieldId="5" dataDxfId="21"/>
    <tableColumn id="32" uniqueName="32" name="Daily_Fruit_Servings" queryTableFieldId="6" dataDxfId="20"/>
    <tableColumn id="33" uniqueName="33" name="Daily_Veggie_Servings" queryTableFieldId="7" dataDxfId="19"/>
    <tableColumn id="34" uniqueName="34" name="Daily_Sugar_Drinks" queryTableFieldId="8" dataDxfId="18"/>
    <tableColumn id="35" uniqueName="35" name="ScreenTime_Hours" queryTableFieldId="9" dataDxfId="17"/>
    <tableColumn id="36" uniqueName="36" name="Region" queryTableFieldId="10" dataDxfId="16"/>
    <tableColumn id="37" uniqueName="37" name="BMI" queryTableFieldId="11" dataDxfId="15"/>
    <tableColumn id="38" uniqueName="38" name="BMI Index" queryTableFieldId="12" dataDxfId="14"/>
    <tableColumn id="39" uniqueName="39" name="Age Group" queryTableFieldId="13" dataDxfId="13"/>
  </tableColumns>
  <tableStyleInfo name="TableStyleMedium7" showFirstColumn="0" showLastColumn="0" showRowStripes="1" showColumnStripes="0"/>
</table>
</file>

<file path=xl/tables/table2.xml><?xml version="1.0" encoding="utf-8"?>
<table xmlns="http://schemas.openxmlformats.org/spreadsheetml/2006/main" id="3" name="Sheet2__3" displayName="Sheet2__3" ref="A1:M101" tableType="queryTable" totalsRowShown="0">
  <autoFilter ref="A1:M101"/>
  <tableColumns count="13">
    <tableColumn id="27" uniqueName="27" name="ChildID" queryTableFieldId="1" dataDxfId="12"/>
    <tableColumn id="28" uniqueName="28" name="Age_Months" queryTableFieldId="2" dataDxfId="11"/>
    <tableColumn id="29" uniqueName="29" name="Gender" queryTableFieldId="3" dataDxfId="10"/>
    <tableColumn id="30" uniqueName="30" name="Height_cm" queryTableFieldId="4" dataDxfId="9"/>
    <tableColumn id="31" uniqueName="31" name="Weight_kg" queryTableFieldId="5" dataDxfId="8"/>
    <tableColumn id="32" uniqueName="32" name="Daily_Fruit_Servings" queryTableFieldId="6" dataDxfId="7"/>
    <tableColumn id="33" uniqueName="33" name="Daily_Veggie_Servings" queryTableFieldId="7" dataDxfId="6"/>
    <tableColumn id="34" uniqueName="34" name="Daily_Sugar_Drinks" queryTableFieldId="8" dataDxfId="5"/>
    <tableColumn id="35" uniqueName="35" name="ScreenTime_Hours" queryTableFieldId="9" dataDxfId="4"/>
    <tableColumn id="36" uniqueName="36" name="Region" queryTableFieldId="10" dataDxfId="3"/>
    <tableColumn id="37" uniqueName="37" name="BMI" queryTableFieldId="11" dataDxfId="2"/>
    <tableColumn id="38" uniqueName="38" name="BMI Index" queryTableFieldId="12" dataDxfId="1"/>
    <tableColumn id="39" uniqueName="39" name="Age Group"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abSelected="1" workbookViewId="0">
      <selection activeCell="P7" sqref="P7"/>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v>47</v>
      </c>
      <c r="C2" s="1" t="s">
        <v>14</v>
      </c>
      <c r="D2" s="1">
        <v>104.41</v>
      </c>
      <c r="E2" s="1">
        <v>17.34</v>
      </c>
      <c r="F2" s="1">
        <v>1</v>
      </c>
      <c r="G2" s="1">
        <v>2</v>
      </c>
      <c r="H2" s="1">
        <v>3</v>
      </c>
      <c r="I2" s="1">
        <v>1.2</v>
      </c>
      <c r="J2" s="1" t="s">
        <v>15</v>
      </c>
      <c r="K2" s="1">
        <v>15.91</v>
      </c>
      <c r="L2" s="1" t="s">
        <v>16</v>
      </c>
      <c r="M2" s="1" t="s">
        <v>17</v>
      </c>
    </row>
    <row r="3" spans="1:13" x14ac:dyDescent="0.25">
      <c r="A3" s="1" t="s">
        <v>18</v>
      </c>
      <c r="B3" s="1">
        <v>34</v>
      </c>
      <c r="C3" s="1" t="s">
        <v>14</v>
      </c>
      <c r="D3" s="1">
        <v>99.08</v>
      </c>
      <c r="E3" s="1">
        <v>16.21</v>
      </c>
      <c r="F3" s="1">
        <v>0</v>
      </c>
      <c r="G3" s="1">
        <v>1</v>
      </c>
      <c r="H3" s="1">
        <v>1</v>
      </c>
      <c r="I3" s="1">
        <v>1.4</v>
      </c>
      <c r="J3" s="1" t="s">
        <v>19</v>
      </c>
      <c r="K3" s="1">
        <v>16.510000000000002</v>
      </c>
      <c r="L3" s="1" t="s">
        <v>16</v>
      </c>
      <c r="M3" s="1" t="s">
        <v>20</v>
      </c>
    </row>
    <row r="4" spans="1:13" x14ac:dyDescent="0.25">
      <c r="A4" s="1" t="s">
        <v>21</v>
      </c>
      <c r="B4" s="1">
        <v>35</v>
      </c>
      <c r="C4" s="1" t="s">
        <v>14</v>
      </c>
      <c r="D4" s="1">
        <v>94.96</v>
      </c>
      <c r="E4" s="1">
        <v>17.3</v>
      </c>
      <c r="F4" s="1">
        <v>3</v>
      </c>
      <c r="G4" s="1">
        <v>3</v>
      </c>
      <c r="H4" s="1">
        <v>2</v>
      </c>
      <c r="I4" s="1">
        <v>0.6</v>
      </c>
      <c r="J4" s="1" t="s">
        <v>19</v>
      </c>
      <c r="K4" s="1">
        <v>19.190000000000001</v>
      </c>
      <c r="L4" s="1" t="s">
        <v>22</v>
      </c>
      <c r="M4" s="1" t="s">
        <v>20</v>
      </c>
    </row>
    <row r="5" spans="1:13" x14ac:dyDescent="0.25">
      <c r="A5" s="1" t="s">
        <v>23</v>
      </c>
      <c r="B5" s="1">
        <v>39</v>
      </c>
      <c r="C5" s="1" t="s">
        <v>14</v>
      </c>
      <c r="D5" s="1">
        <v>100.65</v>
      </c>
      <c r="E5" s="1">
        <v>20.010000000000002</v>
      </c>
      <c r="F5" s="1">
        <v>2</v>
      </c>
      <c r="G5" s="1">
        <v>0</v>
      </c>
      <c r="H5" s="1">
        <v>1</v>
      </c>
      <c r="I5" s="1">
        <v>1.5</v>
      </c>
      <c r="J5" s="1" t="s">
        <v>19</v>
      </c>
      <c r="K5" s="1">
        <v>19.75</v>
      </c>
      <c r="L5" s="1" t="s">
        <v>22</v>
      </c>
      <c r="M5" s="1" t="s">
        <v>17</v>
      </c>
    </row>
    <row r="6" spans="1:13" x14ac:dyDescent="0.25">
      <c r="A6" s="1" t="s">
        <v>24</v>
      </c>
      <c r="B6" s="1">
        <v>26</v>
      </c>
      <c r="C6" s="1" t="s">
        <v>14</v>
      </c>
      <c r="D6" s="1">
        <v>90.06</v>
      </c>
      <c r="E6" s="1">
        <v>12.16</v>
      </c>
      <c r="F6" s="1">
        <v>0</v>
      </c>
      <c r="G6" s="1">
        <v>1</v>
      </c>
      <c r="H6" s="1">
        <v>0</v>
      </c>
      <c r="I6" s="1">
        <v>0.9</v>
      </c>
      <c r="J6" s="1" t="s">
        <v>15</v>
      </c>
      <c r="K6" s="1">
        <v>14.99</v>
      </c>
      <c r="L6" s="1" t="s">
        <v>16</v>
      </c>
      <c r="M6" s="1" t="s">
        <v>20</v>
      </c>
    </row>
    <row r="7" spans="1:13" x14ac:dyDescent="0.25">
      <c r="A7" s="1" t="s">
        <v>25</v>
      </c>
      <c r="B7" s="1">
        <v>51</v>
      </c>
      <c r="C7" s="1" t="s">
        <v>26</v>
      </c>
      <c r="D7" s="1">
        <v>108.82</v>
      </c>
      <c r="E7" s="1">
        <v>21.54</v>
      </c>
      <c r="F7" s="1">
        <v>0</v>
      </c>
      <c r="G7" s="1">
        <v>1</v>
      </c>
      <c r="H7" s="1">
        <v>1</v>
      </c>
      <c r="I7" s="1">
        <v>0.9</v>
      </c>
      <c r="J7" s="1" t="s">
        <v>27</v>
      </c>
      <c r="K7" s="1">
        <v>18.190000000000001</v>
      </c>
      <c r="L7" s="1" t="s">
        <v>16</v>
      </c>
      <c r="M7" s="1" t="s">
        <v>17</v>
      </c>
    </row>
    <row r="8" spans="1:13" x14ac:dyDescent="0.25">
      <c r="A8" s="1" t="s">
        <v>28</v>
      </c>
      <c r="B8" s="1">
        <v>52</v>
      </c>
      <c r="C8" s="1" t="s">
        <v>26</v>
      </c>
      <c r="D8" s="1">
        <v>110.28</v>
      </c>
      <c r="E8" s="1">
        <v>21.49</v>
      </c>
      <c r="F8" s="1">
        <v>4</v>
      </c>
      <c r="G8" s="1">
        <v>0</v>
      </c>
      <c r="H8" s="1">
        <v>2</v>
      </c>
      <c r="I8" s="1">
        <v>2.8</v>
      </c>
      <c r="J8" s="1" t="s">
        <v>15</v>
      </c>
      <c r="K8" s="1">
        <v>17.670000000000002</v>
      </c>
      <c r="L8" s="1" t="s">
        <v>16</v>
      </c>
      <c r="M8" s="1" t="s">
        <v>17</v>
      </c>
    </row>
    <row r="9" spans="1:13" x14ac:dyDescent="0.25">
      <c r="A9" s="1" t="s">
        <v>29</v>
      </c>
      <c r="B9" s="1">
        <v>52</v>
      </c>
      <c r="C9" s="1" t="s">
        <v>14</v>
      </c>
      <c r="D9" s="1">
        <v>102.65</v>
      </c>
      <c r="E9" s="1">
        <v>19.55</v>
      </c>
      <c r="F9" s="1">
        <v>2</v>
      </c>
      <c r="G9" s="1">
        <v>2</v>
      </c>
      <c r="H9" s="1">
        <v>1</v>
      </c>
      <c r="I9" s="1">
        <v>1.3</v>
      </c>
      <c r="J9" s="1" t="s">
        <v>19</v>
      </c>
      <c r="K9" s="1">
        <v>18.55</v>
      </c>
      <c r="L9" s="1" t="s">
        <v>22</v>
      </c>
      <c r="M9" s="1" t="s">
        <v>17</v>
      </c>
    </row>
    <row r="10" spans="1:13" x14ac:dyDescent="0.25">
      <c r="A10" s="1" t="s">
        <v>30</v>
      </c>
      <c r="B10" s="1">
        <v>28</v>
      </c>
      <c r="C10" s="1" t="s">
        <v>26</v>
      </c>
      <c r="D10" s="1">
        <v>91.47</v>
      </c>
      <c r="E10" s="1">
        <v>16.39</v>
      </c>
      <c r="F10" s="1">
        <v>3</v>
      </c>
      <c r="G10" s="1">
        <v>2</v>
      </c>
      <c r="H10" s="1">
        <v>3</v>
      </c>
      <c r="I10" s="1">
        <v>0.8</v>
      </c>
      <c r="J10" s="1" t="s">
        <v>31</v>
      </c>
      <c r="K10" s="1">
        <v>19.59</v>
      </c>
      <c r="L10" s="1" t="s">
        <v>22</v>
      </c>
      <c r="M10" s="1" t="s">
        <v>20</v>
      </c>
    </row>
    <row r="11" spans="1:13" x14ac:dyDescent="0.25">
      <c r="A11" s="1" t="s">
        <v>32</v>
      </c>
      <c r="B11" s="1">
        <v>44</v>
      </c>
      <c r="C11" s="1" t="s">
        <v>14</v>
      </c>
      <c r="D11" s="1">
        <v>111.89</v>
      </c>
      <c r="E11" s="1">
        <v>17.95</v>
      </c>
      <c r="F11" s="1">
        <v>1</v>
      </c>
      <c r="G11" s="1">
        <v>3</v>
      </c>
      <c r="H11" s="1">
        <v>0</v>
      </c>
      <c r="I11" s="1">
        <v>0.8</v>
      </c>
      <c r="J11" s="1" t="s">
        <v>19</v>
      </c>
      <c r="K11" s="1">
        <v>14.34</v>
      </c>
      <c r="L11" s="1" t="s">
        <v>16</v>
      </c>
      <c r="M11" s="1" t="s">
        <v>17</v>
      </c>
    </row>
    <row r="12" spans="1:13" x14ac:dyDescent="0.25">
      <c r="A12" s="1" t="s">
        <v>33</v>
      </c>
      <c r="B12" s="1">
        <v>25</v>
      </c>
      <c r="C12" s="1" t="s">
        <v>26</v>
      </c>
      <c r="D12" s="1">
        <v>96.25</v>
      </c>
      <c r="E12" s="1">
        <v>13.5</v>
      </c>
      <c r="F12" s="1">
        <v>3</v>
      </c>
      <c r="G12" s="1">
        <v>4</v>
      </c>
      <c r="H12" s="1">
        <v>0</v>
      </c>
      <c r="I12" s="1">
        <v>0.6</v>
      </c>
      <c r="J12" s="1" t="s">
        <v>34</v>
      </c>
      <c r="K12" s="1">
        <v>14.57</v>
      </c>
      <c r="L12" s="1" t="s">
        <v>16</v>
      </c>
      <c r="M12" s="1" t="s">
        <v>20</v>
      </c>
    </row>
    <row r="13" spans="1:13" x14ac:dyDescent="0.25">
      <c r="A13" s="1" t="s">
        <v>35</v>
      </c>
      <c r="B13" s="1">
        <v>32</v>
      </c>
      <c r="C13" s="1" t="s">
        <v>14</v>
      </c>
      <c r="D13" s="1">
        <v>96.02</v>
      </c>
      <c r="E13" s="1">
        <v>16.55</v>
      </c>
      <c r="F13" s="1">
        <v>2</v>
      </c>
      <c r="G13" s="1">
        <v>0</v>
      </c>
      <c r="H13" s="1">
        <v>2</v>
      </c>
      <c r="I13" s="1">
        <v>1</v>
      </c>
      <c r="J13" s="1" t="s">
        <v>31</v>
      </c>
      <c r="K13" s="1">
        <v>17.95</v>
      </c>
      <c r="L13" s="1" t="s">
        <v>16</v>
      </c>
      <c r="M13" s="1" t="s">
        <v>20</v>
      </c>
    </row>
    <row r="14" spans="1:13" x14ac:dyDescent="0.25">
      <c r="A14" s="1" t="s">
        <v>36</v>
      </c>
      <c r="B14" s="1">
        <v>34</v>
      </c>
      <c r="C14" s="1" t="s">
        <v>26</v>
      </c>
      <c r="D14" s="1">
        <v>97.37</v>
      </c>
      <c r="E14" s="1">
        <v>15.55</v>
      </c>
      <c r="F14" s="1">
        <v>0</v>
      </c>
      <c r="G14" s="1">
        <v>1</v>
      </c>
      <c r="H14" s="1">
        <v>2</v>
      </c>
      <c r="I14" s="1">
        <v>1.3</v>
      </c>
      <c r="J14" s="1" t="s">
        <v>27</v>
      </c>
      <c r="K14" s="1">
        <v>16.399999999999999</v>
      </c>
      <c r="L14" s="1" t="s">
        <v>16</v>
      </c>
      <c r="M14" s="1" t="s">
        <v>20</v>
      </c>
    </row>
    <row r="15" spans="1:13" x14ac:dyDescent="0.25">
      <c r="A15" s="1" t="s">
        <v>37</v>
      </c>
      <c r="B15" s="1">
        <v>49</v>
      </c>
      <c r="C15" s="1" t="s">
        <v>26</v>
      </c>
      <c r="D15" s="1">
        <v>108.39</v>
      </c>
      <c r="E15" s="1">
        <v>20.100000000000001</v>
      </c>
      <c r="F15" s="1">
        <v>0</v>
      </c>
      <c r="G15" s="1">
        <v>2</v>
      </c>
      <c r="H15" s="1">
        <v>3</v>
      </c>
      <c r="I15" s="1">
        <v>0.6</v>
      </c>
      <c r="J15" s="1" t="s">
        <v>27</v>
      </c>
      <c r="K15" s="1">
        <v>17.11</v>
      </c>
      <c r="L15" s="1" t="s">
        <v>16</v>
      </c>
      <c r="M15" s="1" t="s">
        <v>17</v>
      </c>
    </row>
    <row r="16" spans="1:13" x14ac:dyDescent="0.25">
      <c r="A16" s="1" t="s">
        <v>38</v>
      </c>
      <c r="B16" s="1">
        <v>25</v>
      </c>
      <c r="C16" s="1" t="s">
        <v>26</v>
      </c>
      <c r="D16" s="1">
        <v>92.58</v>
      </c>
      <c r="E16" s="1">
        <v>15.13</v>
      </c>
      <c r="F16" s="1">
        <v>2</v>
      </c>
      <c r="G16" s="1">
        <v>2</v>
      </c>
      <c r="H16" s="1">
        <v>2</v>
      </c>
      <c r="I16" s="1">
        <v>1.6</v>
      </c>
      <c r="J16" s="1" t="s">
        <v>19</v>
      </c>
      <c r="K16" s="1">
        <v>17.649999999999999</v>
      </c>
      <c r="L16" s="1" t="s">
        <v>16</v>
      </c>
      <c r="M16" s="1" t="s">
        <v>20</v>
      </c>
    </row>
    <row r="17" spans="1:13" x14ac:dyDescent="0.25">
      <c r="A17" s="1" t="s">
        <v>39</v>
      </c>
      <c r="B17" s="1">
        <v>38</v>
      </c>
      <c r="C17" s="1" t="s">
        <v>26</v>
      </c>
      <c r="D17" s="1">
        <v>99.65</v>
      </c>
      <c r="E17" s="1">
        <v>16.940000000000001</v>
      </c>
      <c r="F17" s="1">
        <v>1</v>
      </c>
      <c r="G17" s="1">
        <v>3</v>
      </c>
      <c r="H17" s="1">
        <v>3</v>
      </c>
      <c r="I17" s="1">
        <v>2.1</v>
      </c>
      <c r="J17" s="1" t="s">
        <v>19</v>
      </c>
      <c r="K17" s="1">
        <v>17.059999999999999</v>
      </c>
      <c r="L17" s="1" t="s">
        <v>16</v>
      </c>
      <c r="M17" s="1" t="s">
        <v>17</v>
      </c>
    </row>
    <row r="18" spans="1:13" x14ac:dyDescent="0.25">
      <c r="A18" s="1" t="s">
        <v>40</v>
      </c>
      <c r="B18" s="1">
        <v>38</v>
      </c>
      <c r="C18" s="1" t="s">
        <v>14</v>
      </c>
      <c r="D18" s="1">
        <v>98.91</v>
      </c>
      <c r="E18" s="1">
        <v>19.489999999999998</v>
      </c>
      <c r="F18" s="1">
        <v>0</v>
      </c>
      <c r="G18" s="1">
        <v>0</v>
      </c>
      <c r="H18" s="1">
        <v>3</v>
      </c>
      <c r="I18" s="1">
        <v>3.1</v>
      </c>
      <c r="J18" s="1" t="s">
        <v>19</v>
      </c>
      <c r="K18" s="1">
        <v>19.920000000000002</v>
      </c>
      <c r="L18" s="1" t="s">
        <v>22</v>
      </c>
      <c r="M18" s="1" t="s">
        <v>17</v>
      </c>
    </row>
    <row r="19" spans="1:13" x14ac:dyDescent="0.25">
      <c r="A19" s="1" t="s">
        <v>41</v>
      </c>
      <c r="B19" s="1">
        <v>25</v>
      </c>
      <c r="C19" s="1" t="s">
        <v>14</v>
      </c>
      <c r="D19" s="1">
        <v>96.42</v>
      </c>
      <c r="E19" s="1">
        <v>14.69</v>
      </c>
      <c r="F19" s="1">
        <v>1</v>
      </c>
      <c r="G19" s="1">
        <v>3</v>
      </c>
      <c r="H19" s="1">
        <v>2</v>
      </c>
      <c r="I19" s="1">
        <v>1.2</v>
      </c>
      <c r="J19" s="1" t="s">
        <v>31</v>
      </c>
      <c r="K19" s="1">
        <v>15.8</v>
      </c>
      <c r="L19" s="1" t="s">
        <v>16</v>
      </c>
      <c r="M19" s="1" t="s">
        <v>20</v>
      </c>
    </row>
    <row r="20" spans="1:13" x14ac:dyDescent="0.25">
      <c r="A20" s="1" t="s">
        <v>42</v>
      </c>
      <c r="B20" s="1">
        <v>57</v>
      </c>
      <c r="C20" s="1" t="s">
        <v>14</v>
      </c>
      <c r="D20" s="1">
        <v>109.26</v>
      </c>
      <c r="E20" s="1">
        <v>20.61</v>
      </c>
      <c r="F20" s="1">
        <v>3</v>
      </c>
      <c r="G20" s="1">
        <v>2</v>
      </c>
      <c r="H20" s="1">
        <v>1</v>
      </c>
      <c r="I20" s="1">
        <v>2</v>
      </c>
      <c r="J20" s="1" t="s">
        <v>27</v>
      </c>
      <c r="K20" s="1">
        <v>17.260000000000002</v>
      </c>
      <c r="L20" s="1" t="s">
        <v>16</v>
      </c>
      <c r="M20" s="1" t="s">
        <v>17</v>
      </c>
    </row>
    <row r="21" spans="1:13" x14ac:dyDescent="0.25">
      <c r="A21" s="1" t="s">
        <v>43</v>
      </c>
      <c r="B21" s="1">
        <v>34</v>
      </c>
      <c r="C21" s="1" t="s">
        <v>26</v>
      </c>
      <c r="D21" s="1">
        <v>98.22</v>
      </c>
      <c r="E21" s="1">
        <v>15.49</v>
      </c>
      <c r="F21" s="1">
        <v>1</v>
      </c>
      <c r="G21" s="1">
        <v>2</v>
      </c>
      <c r="H21" s="1">
        <v>0</v>
      </c>
      <c r="I21" s="1">
        <v>0.8</v>
      </c>
      <c r="J21" s="1" t="s">
        <v>19</v>
      </c>
      <c r="K21" s="1">
        <v>16.059999999999999</v>
      </c>
      <c r="L21" s="1" t="s">
        <v>16</v>
      </c>
      <c r="M21" s="1" t="s">
        <v>20</v>
      </c>
    </row>
    <row r="22" spans="1:13" x14ac:dyDescent="0.25">
      <c r="A22" s="1" t="s">
        <v>44</v>
      </c>
      <c r="B22" s="1">
        <v>35</v>
      </c>
      <c r="C22" s="1" t="s">
        <v>14</v>
      </c>
      <c r="D22" s="1">
        <v>101.02</v>
      </c>
      <c r="E22" s="1">
        <v>16.760000000000002</v>
      </c>
      <c r="F22" s="1">
        <v>3</v>
      </c>
      <c r="G22" s="1">
        <v>2</v>
      </c>
      <c r="H22" s="1">
        <v>2</v>
      </c>
      <c r="I22" s="1">
        <v>1.9</v>
      </c>
      <c r="J22" s="1" t="s">
        <v>15</v>
      </c>
      <c r="K22" s="1">
        <v>16.420000000000002</v>
      </c>
      <c r="L22" s="1" t="s">
        <v>16</v>
      </c>
      <c r="M22" s="1" t="s">
        <v>20</v>
      </c>
    </row>
    <row r="23" spans="1:13" x14ac:dyDescent="0.25">
      <c r="A23" s="1" t="s">
        <v>45</v>
      </c>
      <c r="B23" s="1">
        <v>56</v>
      </c>
      <c r="C23" s="1" t="s">
        <v>26</v>
      </c>
      <c r="D23" s="1">
        <v>111.44</v>
      </c>
      <c r="E23" s="1">
        <v>21.87</v>
      </c>
      <c r="F23" s="1">
        <v>4</v>
      </c>
      <c r="G23" s="1">
        <v>1</v>
      </c>
      <c r="H23" s="1">
        <v>2</v>
      </c>
      <c r="I23" s="1">
        <v>1.9</v>
      </c>
      <c r="J23" s="1" t="s">
        <v>27</v>
      </c>
      <c r="K23" s="1">
        <v>17.61</v>
      </c>
      <c r="L23" s="1" t="s">
        <v>16</v>
      </c>
      <c r="M23" s="1" t="s">
        <v>17</v>
      </c>
    </row>
    <row r="24" spans="1:13" x14ac:dyDescent="0.25">
      <c r="A24" s="1" t="s">
        <v>46</v>
      </c>
      <c r="B24" s="1">
        <v>46</v>
      </c>
      <c r="C24" s="1" t="s">
        <v>26</v>
      </c>
      <c r="D24" s="1">
        <v>103.85</v>
      </c>
      <c r="E24" s="1">
        <v>19.47</v>
      </c>
      <c r="F24" s="1">
        <v>2</v>
      </c>
      <c r="G24" s="1">
        <v>4</v>
      </c>
      <c r="H24" s="1">
        <v>3</v>
      </c>
      <c r="I24" s="1">
        <v>2.9</v>
      </c>
      <c r="J24" s="1" t="s">
        <v>27</v>
      </c>
      <c r="K24" s="1">
        <v>18.05</v>
      </c>
      <c r="L24" s="1" t="s">
        <v>16</v>
      </c>
      <c r="M24" s="1" t="s">
        <v>17</v>
      </c>
    </row>
    <row r="25" spans="1:13" x14ac:dyDescent="0.25">
      <c r="A25" s="1" t="s">
        <v>47</v>
      </c>
      <c r="B25" s="1">
        <v>35</v>
      </c>
      <c r="C25" s="1" t="s">
        <v>14</v>
      </c>
      <c r="D25" s="1">
        <v>102.67</v>
      </c>
      <c r="E25" s="1">
        <v>13.79</v>
      </c>
      <c r="F25" s="1">
        <v>4</v>
      </c>
      <c r="G25" s="1">
        <v>1</v>
      </c>
      <c r="H25" s="1">
        <v>1</v>
      </c>
      <c r="I25" s="1">
        <v>2</v>
      </c>
      <c r="J25" s="1" t="s">
        <v>19</v>
      </c>
      <c r="K25" s="1">
        <v>13.08</v>
      </c>
      <c r="L25" s="1" t="s">
        <v>16</v>
      </c>
      <c r="M25" s="1" t="s">
        <v>20</v>
      </c>
    </row>
    <row r="26" spans="1:13" x14ac:dyDescent="0.25">
      <c r="A26" s="1" t="s">
        <v>48</v>
      </c>
      <c r="B26" s="1">
        <v>52</v>
      </c>
      <c r="C26" s="1" t="s">
        <v>26</v>
      </c>
      <c r="D26" s="1">
        <v>107.91</v>
      </c>
      <c r="E26" s="1">
        <v>19.27</v>
      </c>
      <c r="F26" s="1">
        <v>4</v>
      </c>
      <c r="G26" s="1">
        <v>0</v>
      </c>
      <c r="H26" s="1">
        <v>0</v>
      </c>
      <c r="I26" s="1">
        <v>0.8</v>
      </c>
      <c r="J26" s="1" t="s">
        <v>27</v>
      </c>
      <c r="K26" s="1">
        <v>16.55</v>
      </c>
      <c r="L26" s="1" t="s">
        <v>16</v>
      </c>
      <c r="M26" s="1" t="s">
        <v>17</v>
      </c>
    </row>
    <row r="27" spans="1:13" x14ac:dyDescent="0.25">
      <c r="A27" s="1" t="s">
        <v>49</v>
      </c>
      <c r="B27" s="1">
        <v>30</v>
      </c>
      <c r="C27" s="1" t="s">
        <v>14</v>
      </c>
      <c r="D27" s="1">
        <v>96.67</v>
      </c>
      <c r="E27" s="1">
        <v>15.72</v>
      </c>
      <c r="F27" s="1">
        <v>3</v>
      </c>
      <c r="G27" s="1">
        <v>1</v>
      </c>
      <c r="H27" s="1">
        <v>2</v>
      </c>
      <c r="I27" s="1">
        <v>1.2</v>
      </c>
      <c r="J27" s="1" t="s">
        <v>31</v>
      </c>
      <c r="K27" s="1">
        <v>16.82</v>
      </c>
      <c r="L27" s="1" t="s">
        <v>16</v>
      </c>
      <c r="M27" s="1" t="s">
        <v>20</v>
      </c>
    </row>
    <row r="28" spans="1:13" x14ac:dyDescent="0.25">
      <c r="A28" s="1" t="s">
        <v>50</v>
      </c>
      <c r="B28" s="1">
        <v>35</v>
      </c>
      <c r="C28" s="1" t="s">
        <v>26</v>
      </c>
      <c r="D28" s="1">
        <v>101.41</v>
      </c>
      <c r="E28" s="1">
        <v>19.45</v>
      </c>
      <c r="F28" s="1">
        <v>0</v>
      </c>
      <c r="G28" s="1">
        <v>4</v>
      </c>
      <c r="H28" s="1">
        <v>2</v>
      </c>
      <c r="I28" s="1">
        <v>1.9</v>
      </c>
      <c r="J28" s="1" t="s">
        <v>15</v>
      </c>
      <c r="K28" s="1">
        <v>18.91</v>
      </c>
      <c r="L28" s="1" t="s">
        <v>22</v>
      </c>
      <c r="M28" s="1" t="s">
        <v>20</v>
      </c>
    </row>
    <row r="29" spans="1:13" x14ac:dyDescent="0.25">
      <c r="A29" s="1" t="s">
        <v>51</v>
      </c>
      <c r="B29" s="1">
        <v>32</v>
      </c>
      <c r="C29" s="1" t="s">
        <v>14</v>
      </c>
      <c r="D29" s="1">
        <v>102.28</v>
      </c>
      <c r="E29" s="1">
        <v>11.75</v>
      </c>
      <c r="F29" s="1">
        <v>2</v>
      </c>
      <c r="G29" s="1">
        <v>1</v>
      </c>
      <c r="H29" s="1">
        <v>1</v>
      </c>
      <c r="I29" s="1">
        <v>1.3</v>
      </c>
      <c r="J29" s="1" t="s">
        <v>27</v>
      </c>
      <c r="K29" s="1">
        <v>11.23</v>
      </c>
      <c r="L29" s="1" t="s">
        <v>16</v>
      </c>
      <c r="M29" s="1" t="s">
        <v>20</v>
      </c>
    </row>
    <row r="30" spans="1:13" x14ac:dyDescent="0.25">
      <c r="A30" s="1" t="s">
        <v>52</v>
      </c>
      <c r="B30" s="1">
        <v>46</v>
      </c>
      <c r="C30" s="1" t="s">
        <v>26</v>
      </c>
      <c r="D30" s="1">
        <v>105.06</v>
      </c>
      <c r="E30" s="1">
        <v>17.260000000000002</v>
      </c>
      <c r="F30" s="1">
        <v>4</v>
      </c>
      <c r="G30" s="1">
        <v>1</v>
      </c>
      <c r="H30" s="1">
        <v>2</v>
      </c>
      <c r="I30" s="1">
        <v>0.8</v>
      </c>
      <c r="J30" s="1" t="s">
        <v>19</v>
      </c>
      <c r="K30" s="1">
        <v>15.64</v>
      </c>
      <c r="L30" s="1" t="s">
        <v>16</v>
      </c>
      <c r="M30" s="1" t="s">
        <v>17</v>
      </c>
    </row>
    <row r="31" spans="1:13" x14ac:dyDescent="0.25">
      <c r="A31" s="1" t="s">
        <v>53</v>
      </c>
      <c r="B31" s="1">
        <v>43</v>
      </c>
      <c r="C31" s="1" t="s">
        <v>26</v>
      </c>
      <c r="D31" s="1">
        <v>103.22</v>
      </c>
      <c r="E31" s="1">
        <v>20.74</v>
      </c>
      <c r="F31" s="1">
        <v>2</v>
      </c>
      <c r="G31" s="1">
        <v>2</v>
      </c>
      <c r="H31" s="1">
        <v>3</v>
      </c>
      <c r="I31" s="1">
        <v>2.1</v>
      </c>
      <c r="J31" s="1" t="s">
        <v>15</v>
      </c>
      <c r="K31" s="1">
        <v>19.47</v>
      </c>
      <c r="L31" s="1" t="s">
        <v>22</v>
      </c>
      <c r="M31" s="1" t="s">
        <v>17</v>
      </c>
    </row>
    <row r="32" spans="1:13" x14ac:dyDescent="0.25">
      <c r="A32" s="1" t="s">
        <v>54</v>
      </c>
      <c r="B32" s="1">
        <v>46</v>
      </c>
      <c r="C32" s="1" t="s">
        <v>14</v>
      </c>
      <c r="D32" s="1">
        <v>105.42</v>
      </c>
      <c r="E32" s="1">
        <v>20.23</v>
      </c>
      <c r="F32" s="1">
        <v>4</v>
      </c>
      <c r="G32" s="1">
        <v>0</v>
      </c>
      <c r="H32" s="1">
        <v>2</v>
      </c>
      <c r="I32" s="1">
        <v>2.2999999999999998</v>
      </c>
      <c r="J32" s="1" t="s">
        <v>34</v>
      </c>
      <c r="K32" s="1">
        <v>18.2</v>
      </c>
      <c r="L32" s="1" t="s">
        <v>16</v>
      </c>
      <c r="M32" s="1" t="s">
        <v>17</v>
      </c>
    </row>
    <row r="33" spans="1:13" x14ac:dyDescent="0.25">
      <c r="A33" s="1" t="s">
        <v>55</v>
      </c>
      <c r="B33" s="1">
        <v>32</v>
      </c>
      <c r="C33" s="1" t="s">
        <v>26</v>
      </c>
      <c r="D33" s="1">
        <v>97.29</v>
      </c>
      <c r="E33" s="1">
        <v>12.89</v>
      </c>
      <c r="F33" s="1">
        <v>4</v>
      </c>
      <c r="G33" s="1">
        <v>2</v>
      </c>
      <c r="H33" s="1">
        <v>2</v>
      </c>
      <c r="I33" s="1">
        <v>1.3</v>
      </c>
      <c r="J33" s="1" t="s">
        <v>19</v>
      </c>
      <c r="K33" s="1">
        <v>13.62</v>
      </c>
      <c r="L33" s="1" t="s">
        <v>16</v>
      </c>
      <c r="M33" s="1" t="s">
        <v>20</v>
      </c>
    </row>
    <row r="34" spans="1:13" x14ac:dyDescent="0.25">
      <c r="A34" s="1" t="s">
        <v>56</v>
      </c>
      <c r="B34" s="1">
        <v>46</v>
      </c>
      <c r="C34" s="1" t="s">
        <v>26</v>
      </c>
      <c r="D34" s="1">
        <v>106.22</v>
      </c>
      <c r="E34" s="1">
        <v>19.48</v>
      </c>
      <c r="F34" s="1">
        <v>4</v>
      </c>
      <c r="G34" s="1">
        <v>3</v>
      </c>
      <c r="H34" s="1">
        <v>0</v>
      </c>
      <c r="I34" s="1">
        <v>0.7</v>
      </c>
      <c r="J34" s="1" t="s">
        <v>15</v>
      </c>
      <c r="K34" s="1">
        <v>17.27</v>
      </c>
      <c r="L34" s="1" t="s">
        <v>16</v>
      </c>
      <c r="M34" s="1" t="s">
        <v>17</v>
      </c>
    </row>
    <row r="35" spans="1:13" x14ac:dyDescent="0.25">
      <c r="A35" s="1" t="s">
        <v>57</v>
      </c>
      <c r="B35" s="1">
        <v>56</v>
      </c>
      <c r="C35" s="1" t="s">
        <v>14</v>
      </c>
      <c r="D35" s="1">
        <v>114.63</v>
      </c>
      <c r="E35" s="1">
        <v>20.11</v>
      </c>
      <c r="F35" s="1">
        <v>2</v>
      </c>
      <c r="G35" s="1">
        <v>1</v>
      </c>
      <c r="H35" s="1">
        <v>0</v>
      </c>
      <c r="I35" s="1">
        <v>0.8</v>
      </c>
      <c r="J35" s="1" t="s">
        <v>34</v>
      </c>
      <c r="K35" s="1">
        <v>15.3</v>
      </c>
      <c r="L35" s="1" t="s">
        <v>16</v>
      </c>
      <c r="M35" s="1" t="s">
        <v>17</v>
      </c>
    </row>
    <row r="36" spans="1:13" x14ac:dyDescent="0.25">
      <c r="A36" s="1" t="s">
        <v>58</v>
      </c>
      <c r="B36" s="1">
        <v>30</v>
      </c>
      <c r="C36" s="1" t="s">
        <v>14</v>
      </c>
      <c r="D36" s="1">
        <v>93.15</v>
      </c>
      <c r="E36" s="1">
        <v>14.24</v>
      </c>
      <c r="F36" s="1">
        <v>1</v>
      </c>
      <c r="G36" s="1">
        <v>1</v>
      </c>
      <c r="H36" s="1">
        <v>2</v>
      </c>
      <c r="I36" s="1">
        <v>1.3</v>
      </c>
      <c r="J36" s="1" t="s">
        <v>19</v>
      </c>
      <c r="K36" s="1">
        <v>16.41</v>
      </c>
      <c r="L36" s="1" t="s">
        <v>16</v>
      </c>
      <c r="M36" s="1" t="s">
        <v>20</v>
      </c>
    </row>
    <row r="37" spans="1:13" x14ac:dyDescent="0.25">
      <c r="A37" s="1" t="s">
        <v>59</v>
      </c>
      <c r="B37" s="1">
        <v>44</v>
      </c>
      <c r="C37" s="1" t="s">
        <v>14</v>
      </c>
      <c r="D37" s="1">
        <v>102.36</v>
      </c>
      <c r="E37" s="1">
        <v>19.600000000000001</v>
      </c>
      <c r="F37" s="1">
        <v>1</v>
      </c>
      <c r="G37" s="1">
        <v>2</v>
      </c>
      <c r="H37" s="1">
        <v>0</v>
      </c>
      <c r="I37" s="1">
        <v>0.9</v>
      </c>
      <c r="J37" s="1" t="s">
        <v>34</v>
      </c>
      <c r="K37" s="1">
        <v>18.71</v>
      </c>
      <c r="L37" s="1" t="s">
        <v>22</v>
      </c>
      <c r="M37" s="1" t="s">
        <v>17</v>
      </c>
    </row>
    <row r="38" spans="1:13" x14ac:dyDescent="0.25">
      <c r="A38" s="1" t="s">
        <v>60</v>
      </c>
      <c r="B38" s="1">
        <v>43</v>
      </c>
      <c r="C38" s="1" t="s">
        <v>14</v>
      </c>
      <c r="D38" s="1">
        <v>105.34</v>
      </c>
      <c r="E38" s="1">
        <v>14.14</v>
      </c>
      <c r="F38" s="1">
        <v>4</v>
      </c>
      <c r="G38" s="1">
        <v>3</v>
      </c>
      <c r="H38" s="1">
        <v>0</v>
      </c>
      <c r="I38" s="1">
        <v>0.8</v>
      </c>
      <c r="J38" s="1" t="s">
        <v>27</v>
      </c>
      <c r="K38" s="1">
        <v>12.74</v>
      </c>
      <c r="L38" s="1" t="s">
        <v>16</v>
      </c>
      <c r="M38" s="1" t="s">
        <v>17</v>
      </c>
    </row>
    <row r="39" spans="1:13" x14ac:dyDescent="0.25">
      <c r="A39" s="1" t="s">
        <v>61</v>
      </c>
      <c r="B39" s="1">
        <v>31</v>
      </c>
      <c r="C39" s="1" t="s">
        <v>14</v>
      </c>
      <c r="D39" s="1">
        <v>96.26</v>
      </c>
      <c r="E39" s="1">
        <v>17.63</v>
      </c>
      <c r="F39" s="1">
        <v>3</v>
      </c>
      <c r="G39" s="1">
        <v>3</v>
      </c>
      <c r="H39" s="1">
        <v>2</v>
      </c>
      <c r="I39" s="1">
        <v>1.7</v>
      </c>
      <c r="J39" s="1" t="s">
        <v>27</v>
      </c>
      <c r="K39" s="1">
        <v>19.03</v>
      </c>
      <c r="L39" s="1" t="s">
        <v>22</v>
      </c>
      <c r="M39" s="1" t="s">
        <v>20</v>
      </c>
    </row>
    <row r="40" spans="1:13" x14ac:dyDescent="0.25">
      <c r="A40" s="1" t="s">
        <v>62</v>
      </c>
      <c r="B40" s="1">
        <v>28</v>
      </c>
      <c r="C40" s="1" t="s">
        <v>26</v>
      </c>
      <c r="D40" s="1">
        <v>97.25</v>
      </c>
      <c r="E40" s="1">
        <v>14.98</v>
      </c>
      <c r="F40" s="1">
        <v>3</v>
      </c>
      <c r="G40" s="1">
        <v>4</v>
      </c>
      <c r="H40" s="1">
        <v>3</v>
      </c>
      <c r="I40" s="1">
        <v>3.2</v>
      </c>
      <c r="J40" s="1" t="s">
        <v>19</v>
      </c>
      <c r="K40" s="1">
        <v>15.84</v>
      </c>
      <c r="L40" s="1" t="s">
        <v>16</v>
      </c>
      <c r="M40" s="1" t="s">
        <v>20</v>
      </c>
    </row>
    <row r="41" spans="1:13" x14ac:dyDescent="0.25">
      <c r="A41" s="1" t="s">
        <v>63</v>
      </c>
      <c r="B41" s="1">
        <v>48</v>
      </c>
      <c r="C41" s="1" t="s">
        <v>26</v>
      </c>
      <c r="D41" s="1">
        <v>108.23</v>
      </c>
      <c r="E41" s="1">
        <v>21</v>
      </c>
      <c r="F41" s="1">
        <v>3</v>
      </c>
      <c r="G41" s="1">
        <v>4</v>
      </c>
      <c r="H41" s="1">
        <v>0</v>
      </c>
      <c r="I41" s="1">
        <v>0.6</v>
      </c>
      <c r="J41" s="1" t="s">
        <v>19</v>
      </c>
      <c r="K41" s="1">
        <v>17.93</v>
      </c>
      <c r="L41" s="1" t="s">
        <v>16</v>
      </c>
      <c r="M41" s="1" t="s">
        <v>17</v>
      </c>
    </row>
    <row r="42" spans="1:13" x14ac:dyDescent="0.25">
      <c r="A42" s="1" t="s">
        <v>64</v>
      </c>
      <c r="B42" s="1">
        <v>27</v>
      </c>
      <c r="C42" s="1" t="s">
        <v>26</v>
      </c>
      <c r="D42" s="1">
        <v>97</v>
      </c>
      <c r="E42" s="1">
        <v>15.12</v>
      </c>
      <c r="F42" s="1">
        <v>4</v>
      </c>
      <c r="G42" s="1">
        <v>0</v>
      </c>
      <c r="H42" s="1">
        <v>1</v>
      </c>
      <c r="I42" s="1">
        <v>1.7</v>
      </c>
      <c r="J42" s="1" t="s">
        <v>31</v>
      </c>
      <c r="K42" s="1">
        <v>16.07</v>
      </c>
      <c r="L42" s="1" t="s">
        <v>16</v>
      </c>
      <c r="M42" s="1" t="s">
        <v>20</v>
      </c>
    </row>
    <row r="43" spans="1:13" x14ac:dyDescent="0.25">
      <c r="A43" s="1" t="s">
        <v>65</v>
      </c>
      <c r="B43" s="1">
        <v>45</v>
      </c>
      <c r="C43" s="1" t="s">
        <v>26</v>
      </c>
      <c r="D43" s="1">
        <v>107.27</v>
      </c>
      <c r="E43" s="1">
        <v>22.7</v>
      </c>
      <c r="F43" s="1">
        <v>4</v>
      </c>
      <c r="G43" s="1">
        <v>0</v>
      </c>
      <c r="H43" s="1">
        <v>0</v>
      </c>
      <c r="I43" s="1">
        <v>0.8</v>
      </c>
      <c r="J43" s="1" t="s">
        <v>15</v>
      </c>
      <c r="K43" s="1">
        <v>19.73</v>
      </c>
      <c r="L43" s="1" t="s">
        <v>22</v>
      </c>
      <c r="M43" s="1" t="s">
        <v>17</v>
      </c>
    </row>
    <row r="44" spans="1:13" x14ac:dyDescent="0.25">
      <c r="A44" s="1" t="s">
        <v>66</v>
      </c>
      <c r="B44" s="1">
        <v>54</v>
      </c>
      <c r="C44" s="1" t="s">
        <v>26</v>
      </c>
      <c r="D44" s="1">
        <v>112.46</v>
      </c>
      <c r="E44" s="1">
        <v>21.36</v>
      </c>
      <c r="F44" s="1">
        <v>2</v>
      </c>
      <c r="G44" s="1">
        <v>0</v>
      </c>
      <c r="H44" s="1">
        <v>1</v>
      </c>
      <c r="I44" s="1">
        <v>1</v>
      </c>
      <c r="J44" s="1" t="s">
        <v>19</v>
      </c>
      <c r="K44" s="1">
        <v>16.89</v>
      </c>
      <c r="L44" s="1" t="s">
        <v>16</v>
      </c>
      <c r="M44" s="1" t="s">
        <v>17</v>
      </c>
    </row>
    <row r="45" spans="1:13" x14ac:dyDescent="0.25">
      <c r="A45" s="1" t="s">
        <v>67</v>
      </c>
      <c r="B45" s="1">
        <v>40</v>
      </c>
      <c r="C45" s="1" t="s">
        <v>26</v>
      </c>
      <c r="D45" s="1">
        <v>103.32</v>
      </c>
      <c r="E45" s="1">
        <v>17.41</v>
      </c>
      <c r="F45" s="1">
        <v>1</v>
      </c>
      <c r="G45" s="1">
        <v>0</v>
      </c>
      <c r="H45" s="1">
        <v>2</v>
      </c>
      <c r="I45" s="1">
        <v>2</v>
      </c>
      <c r="J45" s="1" t="s">
        <v>27</v>
      </c>
      <c r="K45" s="1">
        <v>16.309999999999999</v>
      </c>
      <c r="L45" s="1" t="s">
        <v>16</v>
      </c>
      <c r="M45" s="1" t="s">
        <v>17</v>
      </c>
    </row>
    <row r="46" spans="1:13" x14ac:dyDescent="0.25">
      <c r="A46" s="1" t="s">
        <v>68</v>
      </c>
      <c r="B46" s="1">
        <v>52</v>
      </c>
      <c r="C46" s="1" t="s">
        <v>14</v>
      </c>
      <c r="D46" s="1">
        <v>107.31</v>
      </c>
      <c r="E46" s="1">
        <v>17.34</v>
      </c>
      <c r="F46" s="1">
        <v>1</v>
      </c>
      <c r="G46" s="1">
        <v>3</v>
      </c>
      <c r="H46" s="1">
        <v>0</v>
      </c>
      <c r="I46" s="1">
        <v>0.5</v>
      </c>
      <c r="J46" s="1" t="s">
        <v>31</v>
      </c>
      <c r="K46" s="1">
        <v>15.06</v>
      </c>
      <c r="L46" s="1" t="s">
        <v>16</v>
      </c>
      <c r="M46" s="1" t="s">
        <v>17</v>
      </c>
    </row>
    <row r="47" spans="1:13" x14ac:dyDescent="0.25">
      <c r="A47" s="1" t="s">
        <v>69</v>
      </c>
      <c r="B47" s="1">
        <v>34</v>
      </c>
      <c r="C47" s="1" t="s">
        <v>26</v>
      </c>
      <c r="D47" s="1">
        <v>99.12</v>
      </c>
      <c r="E47" s="1">
        <v>17.43</v>
      </c>
      <c r="F47" s="1">
        <v>3</v>
      </c>
      <c r="G47" s="1">
        <v>4</v>
      </c>
      <c r="H47" s="1">
        <v>3</v>
      </c>
      <c r="I47" s="1">
        <v>1.6</v>
      </c>
      <c r="J47" s="1" t="s">
        <v>15</v>
      </c>
      <c r="K47" s="1">
        <v>17.739999999999998</v>
      </c>
      <c r="L47" s="1" t="s">
        <v>16</v>
      </c>
      <c r="M47" s="1" t="s">
        <v>20</v>
      </c>
    </row>
    <row r="48" spans="1:13" x14ac:dyDescent="0.25">
      <c r="A48" s="1" t="s">
        <v>70</v>
      </c>
      <c r="B48" s="1">
        <v>27</v>
      </c>
      <c r="C48" s="1" t="s">
        <v>26</v>
      </c>
      <c r="D48" s="1">
        <v>93.16</v>
      </c>
      <c r="E48" s="1">
        <v>15.53</v>
      </c>
      <c r="F48" s="1">
        <v>2</v>
      </c>
      <c r="G48" s="1">
        <v>2</v>
      </c>
      <c r="H48" s="1">
        <v>0</v>
      </c>
      <c r="I48" s="1">
        <v>0.8</v>
      </c>
      <c r="J48" s="1" t="s">
        <v>19</v>
      </c>
      <c r="K48" s="1">
        <v>17.89</v>
      </c>
      <c r="L48" s="1" t="s">
        <v>16</v>
      </c>
      <c r="M48" s="1" t="s">
        <v>20</v>
      </c>
    </row>
    <row r="49" spans="1:13" x14ac:dyDescent="0.25">
      <c r="A49" s="1" t="s">
        <v>71</v>
      </c>
      <c r="B49" s="1">
        <v>55</v>
      </c>
      <c r="C49" s="1" t="s">
        <v>26</v>
      </c>
      <c r="D49" s="1">
        <v>111.49</v>
      </c>
      <c r="E49" s="1">
        <v>20.23</v>
      </c>
      <c r="F49" s="1">
        <v>1</v>
      </c>
      <c r="G49" s="1">
        <v>0</v>
      </c>
      <c r="H49" s="1">
        <v>1</v>
      </c>
      <c r="I49" s="1">
        <v>1.6</v>
      </c>
      <c r="J49" s="1" t="s">
        <v>31</v>
      </c>
      <c r="K49" s="1">
        <v>16.28</v>
      </c>
      <c r="L49" s="1" t="s">
        <v>16</v>
      </c>
      <c r="M49" s="1" t="s">
        <v>17</v>
      </c>
    </row>
    <row r="50" spans="1:13" x14ac:dyDescent="0.25">
      <c r="A50" s="1" t="s">
        <v>72</v>
      </c>
      <c r="B50" s="1">
        <v>42</v>
      </c>
      <c r="C50" s="1" t="s">
        <v>14</v>
      </c>
      <c r="D50" s="1">
        <v>108.71</v>
      </c>
      <c r="E50" s="1">
        <v>16.2</v>
      </c>
      <c r="F50" s="1">
        <v>2</v>
      </c>
      <c r="G50" s="1">
        <v>1</v>
      </c>
      <c r="H50" s="1">
        <v>3</v>
      </c>
      <c r="I50" s="1">
        <v>1.1000000000000001</v>
      </c>
      <c r="J50" s="1" t="s">
        <v>31</v>
      </c>
      <c r="K50" s="1">
        <v>13.71</v>
      </c>
      <c r="L50" s="1" t="s">
        <v>16</v>
      </c>
      <c r="M50" s="1" t="s">
        <v>17</v>
      </c>
    </row>
    <row r="51" spans="1:13" x14ac:dyDescent="0.25">
      <c r="A51" s="1" t="s">
        <v>73</v>
      </c>
      <c r="B51" s="1">
        <v>36</v>
      </c>
      <c r="C51" s="1" t="s">
        <v>14</v>
      </c>
      <c r="D51" s="1">
        <v>97.21</v>
      </c>
      <c r="E51" s="1">
        <v>13.41</v>
      </c>
      <c r="F51" s="1">
        <v>4</v>
      </c>
      <c r="G51" s="1">
        <v>3</v>
      </c>
      <c r="H51" s="1">
        <v>1</v>
      </c>
      <c r="I51" s="1">
        <v>0.9</v>
      </c>
      <c r="J51" s="1" t="s">
        <v>19</v>
      </c>
      <c r="K51" s="1">
        <v>14.19</v>
      </c>
      <c r="L51" s="1" t="s">
        <v>16</v>
      </c>
      <c r="M51" s="1" t="s">
        <v>17</v>
      </c>
    </row>
    <row r="52" spans="1:13" x14ac:dyDescent="0.25">
      <c r="A52" s="1" t="s">
        <v>74</v>
      </c>
      <c r="B52" s="1">
        <v>34</v>
      </c>
      <c r="C52" s="1" t="s">
        <v>14</v>
      </c>
      <c r="D52" s="1">
        <v>98.46</v>
      </c>
      <c r="E52" s="1">
        <v>15.38</v>
      </c>
      <c r="F52" s="1">
        <v>3</v>
      </c>
      <c r="G52" s="1">
        <v>2</v>
      </c>
      <c r="H52" s="1">
        <v>2</v>
      </c>
      <c r="I52" s="1">
        <v>1.2</v>
      </c>
      <c r="J52" s="1" t="s">
        <v>15</v>
      </c>
      <c r="K52" s="1">
        <v>15.86</v>
      </c>
      <c r="L52" s="1" t="s">
        <v>16</v>
      </c>
      <c r="M52" s="1" t="s">
        <v>20</v>
      </c>
    </row>
    <row r="53" spans="1:13" x14ac:dyDescent="0.25">
      <c r="A53" s="1" t="s">
        <v>75</v>
      </c>
      <c r="B53" s="1">
        <v>40</v>
      </c>
      <c r="C53" s="1" t="s">
        <v>14</v>
      </c>
      <c r="D53" s="1">
        <v>100.6</v>
      </c>
      <c r="E53" s="1">
        <v>17.309999999999999</v>
      </c>
      <c r="F53" s="1">
        <v>0</v>
      </c>
      <c r="G53" s="1">
        <v>3</v>
      </c>
      <c r="H53" s="1">
        <v>0</v>
      </c>
      <c r="I53" s="1">
        <v>0.6</v>
      </c>
      <c r="J53" s="1" t="s">
        <v>34</v>
      </c>
      <c r="K53" s="1">
        <v>17.100000000000001</v>
      </c>
      <c r="L53" s="1" t="s">
        <v>16</v>
      </c>
      <c r="M53" s="1" t="s">
        <v>17</v>
      </c>
    </row>
    <row r="54" spans="1:13" x14ac:dyDescent="0.25">
      <c r="A54" s="1" t="s">
        <v>76</v>
      </c>
      <c r="B54" s="1">
        <v>39</v>
      </c>
      <c r="C54" s="1" t="s">
        <v>14</v>
      </c>
      <c r="D54" s="1">
        <v>96.54</v>
      </c>
      <c r="E54" s="1">
        <v>18.239999999999998</v>
      </c>
      <c r="F54" s="1">
        <v>4</v>
      </c>
      <c r="G54" s="1">
        <v>3</v>
      </c>
      <c r="H54" s="1">
        <v>1</v>
      </c>
      <c r="I54" s="1">
        <v>1.9</v>
      </c>
      <c r="J54" s="1" t="s">
        <v>34</v>
      </c>
      <c r="K54" s="1">
        <v>19.57</v>
      </c>
      <c r="L54" s="1" t="s">
        <v>22</v>
      </c>
      <c r="M54" s="1" t="s">
        <v>17</v>
      </c>
    </row>
    <row r="55" spans="1:13" x14ac:dyDescent="0.25">
      <c r="A55" s="1" t="s">
        <v>77</v>
      </c>
      <c r="B55" s="1">
        <v>57</v>
      </c>
      <c r="C55" s="1" t="s">
        <v>26</v>
      </c>
      <c r="D55" s="1">
        <v>110.58</v>
      </c>
      <c r="E55" s="1">
        <v>21.99</v>
      </c>
      <c r="F55" s="1">
        <v>3</v>
      </c>
      <c r="G55" s="1">
        <v>0</v>
      </c>
      <c r="H55" s="1">
        <v>0</v>
      </c>
      <c r="I55" s="1">
        <v>0.9</v>
      </c>
      <c r="J55" s="1" t="s">
        <v>15</v>
      </c>
      <c r="K55" s="1">
        <v>17.98</v>
      </c>
      <c r="L55" s="1" t="s">
        <v>16</v>
      </c>
      <c r="M55" s="1" t="s">
        <v>17</v>
      </c>
    </row>
    <row r="56" spans="1:13" x14ac:dyDescent="0.25">
      <c r="A56" s="1" t="s">
        <v>78</v>
      </c>
      <c r="B56" s="1">
        <v>50</v>
      </c>
      <c r="C56" s="1" t="s">
        <v>14</v>
      </c>
      <c r="D56" s="1">
        <v>114.47</v>
      </c>
      <c r="E56" s="1">
        <v>18.010000000000002</v>
      </c>
      <c r="F56" s="1">
        <v>1</v>
      </c>
      <c r="G56" s="1">
        <v>3</v>
      </c>
      <c r="H56" s="1">
        <v>0</v>
      </c>
      <c r="I56" s="1">
        <v>0.6</v>
      </c>
      <c r="J56" s="1" t="s">
        <v>31</v>
      </c>
      <c r="K56" s="1">
        <v>13.74</v>
      </c>
      <c r="L56" s="1" t="s">
        <v>16</v>
      </c>
      <c r="M56" s="1" t="s">
        <v>17</v>
      </c>
    </row>
    <row r="57" spans="1:13" x14ac:dyDescent="0.25">
      <c r="A57" s="1" t="s">
        <v>79</v>
      </c>
      <c r="B57" s="1">
        <v>31</v>
      </c>
      <c r="C57" s="1" t="s">
        <v>14</v>
      </c>
      <c r="D57" s="1">
        <v>96.28</v>
      </c>
      <c r="E57" s="1">
        <v>16.84</v>
      </c>
      <c r="F57" s="1">
        <v>4</v>
      </c>
      <c r="G57" s="1">
        <v>2</v>
      </c>
      <c r="H57" s="1">
        <v>3</v>
      </c>
      <c r="I57" s="1">
        <v>0.5</v>
      </c>
      <c r="J57" s="1" t="s">
        <v>27</v>
      </c>
      <c r="K57" s="1">
        <v>18.170000000000002</v>
      </c>
      <c r="L57" s="1" t="s">
        <v>16</v>
      </c>
      <c r="M57" s="1" t="s">
        <v>20</v>
      </c>
    </row>
    <row r="58" spans="1:13" x14ac:dyDescent="0.25">
      <c r="A58" s="1" t="s">
        <v>80</v>
      </c>
      <c r="B58" s="1">
        <v>44</v>
      </c>
      <c r="C58" s="1" t="s">
        <v>14</v>
      </c>
      <c r="D58" s="1">
        <v>104.76</v>
      </c>
      <c r="E58" s="1">
        <v>18.399999999999999</v>
      </c>
      <c r="F58" s="1">
        <v>4</v>
      </c>
      <c r="G58" s="1">
        <v>2</v>
      </c>
      <c r="H58" s="1">
        <v>1</v>
      </c>
      <c r="I58" s="1">
        <v>0.7</v>
      </c>
      <c r="J58" s="1" t="s">
        <v>15</v>
      </c>
      <c r="K58" s="1">
        <v>16.77</v>
      </c>
      <c r="L58" s="1" t="s">
        <v>16</v>
      </c>
      <c r="M58" s="1" t="s">
        <v>17</v>
      </c>
    </row>
    <row r="59" spans="1:13" x14ac:dyDescent="0.25">
      <c r="A59" s="1" t="s">
        <v>81</v>
      </c>
      <c r="B59" s="1">
        <v>42</v>
      </c>
      <c r="C59" s="1" t="s">
        <v>26</v>
      </c>
      <c r="D59" s="1">
        <v>105.35</v>
      </c>
      <c r="E59" s="1">
        <v>19.88</v>
      </c>
      <c r="F59" s="1">
        <v>1</v>
      </c>
      <c r="G59" s="1">
        <v>2</v>
      </c>
      <c r="H59" s="1">
        <v>2</v>
      </c>
      <c r="I59" s="1">
        <v>2.8</v>
      </c>
      <c r="J59" s="1" t="s">
        <v>27</v>
      </c>
      <c r="K59" s="1">
        <v>17.91</v>
      </c>
      <c r="L59" s="1" t="s">
        <v>16</v>
      </c>
      <c r="M59" s="1" t="s">
        <v>17</v>
      </c>
    </row>
    <row r="60" spans="1:13" x14ac:dyDescent="0.25">
      <c r="A60" s="1" t="s">
        <v>82</v>
      </c>
      <c r="B60" s="1">
        <v>59</v>
      </c>
      <c r="C60" s="1" t="s">
        <v>26</v>
      </c>
      <c r="D60" s="1">
        <v>110.75</v>
      </c>
      <c r="E60" s="1">
        <v>24.56</v>
      </c>
      <c r="F60" s="1">
        <v>4</v>
      </c>
      <c r="G60" s="1">
        <v>4</v>
      </c>
      <c r="H60" s="1">
        <v>1</v>
      </c>
      <c r="I60" s="1">
        <v>1.7</v>
      </c>
      <c r="J60" s="1" t="s">
        <v>15</v>
      </c>
      <c r="K60" s="1">
        <v>20.02</v>
      </c>
      <c r="L60" s="1" t="s">
        <v>22</v>
      </c>
      <c r="M60" s="1" t="s">
        <v>17</v>
      </c>
    </row>
    <row r="61" spans="1:13" x14ac:dyDescent="0.25">
      <c r="A61" s="1" t="s">
        <v>83</v>
      </c>
      <c r="B61" s="1">
        <v>56</v>
      </c>
      <c r="C61" s="1" t="s">
        <v>26</v>
      </c>
      <c r="D61" s="1">
        <v>108</v>
      </c>
      <c r="E61" s="1">
        <v>22.24</v>
      </c>
      <c r="F61" s="1">
        <v>2</v>
      </c>
      <c r="G61" s="1">
        <v>4</v>
      </c>
      <c r="H61" s="1">
        <v>2</v>
      </c>
      <c r="I61" s="1">
        <v>1.1000000000000001</v>
      </c>
      <c r="J61" s="1" t="s">
        <v>19</v>
      </c>
      <c r="K61" s="1">
        <v>19.07</v>
      </c>
      <c r="L61" s="1" t="s">
        <v>22</v>
      </c>
      <c r="M61" s="1" t="s">
        <v>17</v>
      </c>
    </row>
    <row r="62" spans="1:13" x14ac:dyDescent="0.25">
      <c r="A62" s="1" t="s">
        <v>84</v>
      </c>
      <c r="B62" s="1">
        <v>32</v>
      </c>
      <c r="C62" s="1" t="s">
        <v>14</v>
      </c>
      <c r="D62" s="1">
        <v>98.63</v>
      </c>
      <c r="E62" s="1">
        <v>17.96</v>
      </c>
      <c r="F62" s="1">
        <v>0</v>
      </c>
      <c r="G62" s="1">
        <v>0</v>
      </c>
      <c r="H62" s="1">
        <v>2</v>
      </c>
      <c r="I62" s="1">
        <v>2.6</v>
      </c>
      <c r="J62" s="1" t="s">
        <v>31</v>
      </c>
      <c r="K62" s="1">
        <v>18.46</v>
      </c>
      <c r="L62" s="1" t="s">
        <v>16</v>
      </c>
      <c r="M62" s="1" t="s">
        <v>20</v>
      </c>
    </row>
    <row r="63" spans="1:13" x14ac:dyDescent="0.25">
      <c r="A63" s="1" t="s">
        <v>85</v>
      </c>
      <c r="B63" s="1">
        <v>47</v>
      </c>
      <c r="C63" s="1" t="s">
        <v>14</v>
      </c>
      <c r="D63" s="1">
        <v>103.57</v>
      </c>
      <c r="E63" s="1">
        <v>22.13</v>
      </c>
      <c r="F63" s="1">
        <v>3</v>
      </c>
      <c r="G63" s="1">
        <v>2</v>
      </c>
      <c r="H63" s="1">
        <v>0</v>
      </c>
      <c r="I63" s="1">
        <v>0.6</v>
      </c>
      <c r="J63" s="1" t="s">
        <v>15</v>
      </c>
      <c r="K63" s="1">
        <v>20.63</v>
      </c>
      <c r="L63" s="1" t="s">
        <v>22</v>
      </c>
      <c r="M63" s="1" t="s">
        <v>17</v>
      </c>
    </row>
    <row r="64" spans="1:13" x14ac:dyDescent="0.25">
      <c r="A64" s="1" t="s">
        <v>86</v>
      </c>
      <c r="B64" s="1">
        <v>28</v>
      </c>
      <c r="C64" s="1" t="s">
        <v>26</v>
      </c>
      <c r="D64" s="1">
        <v>92.72</v>
      </c>
      <c r="E64" s="1">
        <v>15.7</v>
      </c>
      <c r="F64" s="1">
        <v>4</v>
      </c>
      <c r="G64" s="1">
        <v>0</v>
      </c>
      <c r="H64" s="1">
        <v>1</v>
      </c>
      <c r="I64" s="1">
        <v>0.5</v>
      </c>
      <c r="J64" s="1" t="s">
        <v>31</v>
      </c>
      <c r="K64" s="1">
        <v>18.260000000000002</v>
      </c>
      <c r="L64" s="1" t="s">
        <v>16</v>
      </c>
      <c r="M64" s="1" t="s">
        <v>20</v>
      </c>
    </row>
    <row r="65" spans="1:13" x14ac:dyDescent="0.25">
      <c r="A65" s="1" t="s">
        <v>87</v>
      </c>
      <c r="B65" s="1">
        <v>56</v>
      </c>
      <c r="C65" s="1" t="s">
        <v>26</v>
      </c>
      <c r="D65" s="1">
        <v>113.3</v>
      </c>
      <c r="E65" s="1">
        <v>20.45</v>
      </c>
      <c r="F65" s="1">
        <v>2</v>
      </c>
      <c r="G65" s="1">
        <v>2</v>
      </c>
      <c r="H65" s="1">
        <v>2</v>
      </c>
      <c r="I65" s="1">
        <v>0.5</v>
      </c>
      <c r="J65" s="1" t="s">
        <v>34</v>
      </c>
      <c r="K65" s="1">
        <v>15.93</v>
      </c>
      <c r="L65" s="1" t="s">
        <v>16</v>
      </c>
      <c r="M65" s="1" t="s">
        <v>17</v>
      </c>
    </row>
    <row r="66" spans="1:13" x14ac:dyDescent="0.25">
      <c r="A66" s="1" t="s">
        <v>88</v>
      </c>
      <c r="B66" s="1">
        <v>38</v>
      </c>
      <c r="C66" s="1" t="s">
        <v>26</v>
      </c>
      <c r="D66" s="1">
        <v>104.84</v>
      </c>
      <c r="E66" s="1">
        <v>19.829999999999998</v>
      </c>
      <c r="F66" s="1">
        <v>4</v>
      </c>
      <c r="G66" s="1">
        <v>0</v>
      </c>
      <c r="H66" s="1">
        <v>0</v>
      </c>
      <c r="I66" s="1">
        <v>0.8</v>
      </c>
      <c r="J66" s="1" t="s">
        <v>31</v>
      </c>
      <c r="K66" s="1">
        <v>18.04</v>
      </c>
      <c r="L66" s="1" t="s">
        <v>16</v>
      </c>
      <c r="M66" s="1" t="s">
        <v>17</v>
      </c>
    </row>
    <row r="67" spans="1:13" x14ac:dyDescent="0.25">
      <c r="A67" s="1" t="s">
        <v>89</v>
      </c>
      <c r="B67" s="1">
        <v>50</v>
      </c>
      <c r="C67" s="1" t="s">
        <v>14</v>
      </c>
      <c r="D67" s="1">
        <v>104.56</v>
      </c>
      <c r="E67" s="1">
        <v>21.62</v>
      </c>
      <c r="F67" s="1">
        <v>4</v>
      </c>
      <c r="G67" s="1">
        <v>1</v>
      </c>
      <c r="H67" s="1">
        <v>1</v>
      </c>
      <c r="I67" s="1">
        <v>2</v>
      </c>
      <c r="J67" s="1" t="s">
        <v>15</v>
      </c>
      <c r="K67" s="1">
        <v>19.78</v>
      </c>
      <c r="L67" s="1" t="s">
        <v>22</v>
      </c>
      <c r="M67" s="1" t="s">
        <v>17</v>
      </c>
    </row>
    <row r="68" spans="1:13" x14ac:dyDescent="0.25">
      <c r="A68" s="1" t="s">
        <v>90</v>
      </c>
      <c r="B68" s="1">
        <v>27</v>
      </c>
      <c r="C68" s="1" t="s">
        <v>26</v>
      </c>
      <c r="D68" s="1">
        <v>97.32</v>
      </c>
      <c r="E68" s="1">
        <v>16.28</v>
      </c>
      <c r="F68" s="1">
        <v>2</v>
      </c>
      <c r="G68" s="1">
        <v>4</v>
      </c>
      <c r="H68" s="1">
        <v>0</v>
      </c>
      <c r="I68" s="1">
        <v>0.8</v>
      </c>
      <c r="J68" s="1" t="s">
        <v>15</v>
      </c>
      <c r="K68" s="1">
        <v>17.190000000000001</v>
      </c>
      <c r="L68" s="1" t="s">
        <v>16</v>
      </c>
      <c r="M68" s="1" t="s">
        <v>20</v>
      </c>
    </row>
    <row r="69" spans="1:13" x14ac:dyDescent="0.25">
      <c r="A69" s="1" t="s">
        <v>91</v>
      </c>
      <c r="B69" s="1">
        <v>32</v>
      </c>
      <c r="C69" s="1" t="s">
        <v>14</v>
      </c>
      <c r="D69" s="1">
        <v>103.58</v>
      </c>
      <c r="E69" s="1">
        <v>15.12</v>
      </c>
      <c r="F69" s="1">
        <v>4</v>
      </c>
      <c r="G69" s="1">
        <v>0</v>
      </c>
      <c r="H69" s="1">
        <v>2</v>
      </c>
      <c r="I69" s="1">
        <v>1.8</v>
      </c>
      <c r="J69" s="1" t="s">
        <v>27</v>
      </c>
      <c r="K69" s="1">
        <v>14.09</v>
      </c>
      <c r="L69" s="1" t="s">
        <v>16</v>
      </c>
      <c r="M69" s="1" t="s">
        <v>20</v>
      </c>
    </row>
    <row r="70" spans="1:13" x14ac:dyDescent="0.25">
      <c r="A70" s="1" t="s">
        <v>92</v>
      </c>
      <c r="B70" s="1">
        <v>53</v>
      </c>
      <c r="C70" s="1" t="s">
        <v>26</v>
      </c>
      <c r="D70" s="1">
        <v>105.92</v>
      </c>
      <c r="E70" s="1">
        <v>22.98</v>
      </c>
      <c r="F70" s="1">
        <v>2</v>
      </c>
      <c r="G70" s="1">
        <v>0</v>
      </c>
      <c r="H70" s="1">
        <v>0</v>
      </c>
      <c r="I70" s="1">
        <v>0.8</v>
      </c>
      <c r="J70" s="1" t="s">
        <v>34</v>
      </c>
      <c r="K70" s="1">
        <v>20.48</v>
      </c>
      <c r="L70" s="1" t="s">
        <v>22</v>
      </c>
      <c r="M70" s="1" t="s">
        <v>17</v>
      </c>
    </row>
    <row r="71" spans="1:13" x14ac:dyDescent="0.25">
      <c r="A71" s="1" t="s">
        <v>93</v>
      </c>
      <c r="B71" s="1">
        <v>33</v>
      </c>
      <c r="C71" s="1" t="s">
        <v>26</v>
      </c>
      <c r="D71" s="1">
        <v>104.76</v>
      </c>
      <c r="E71" s="1">
        <v>13.89</v>
      </c>
      <c r="F71" s="1">
        <v>3</v>
      </c>
      <c r="G71" s="1">
        <v>4</v>
      </c>
      <c r="H71" s="1">
        <v>0</v>
      </c>
      <c r="I71" s="1">
        <v>0.5</v>
      </c>
      <c r="J71" s="1" t="s">
        <v>27</v>
      </c>
      <c r="K71" s="1">
        <v>12.66</v>
      </c>
      <c r="L71" s="1" t="s">
        <v>16</v>
      </c>
      <c r="M71" s="1" t="s">
        <v>20</v>
      </c>
    </row>
    <row r="72" spans="1:13" x14ac:dyDescent="0.25">
      <c r="A72" s="1" t="s">
        <v>94</v>
      </c>
      <c r="B72" s="1">
        <v>49</v>
      </c>
      <c r="C72" s="1" t="s">
        <v>26</v>
      </c>
      <c r="D72" s="1">
        <v>108.22</v>
      </c>
      <c r="E72" s="1">
        <v>19.55</v>
      </c>
      <c r="F72" s="1">
        <v>1</v>
      </c>
      <c r="G72" s="1">
        <v>1</v>
      </c>
      <c r="H72" s="1">
        <v>2</v>
      </c>
      <c r="I72" s="1">
        <v>1.6</v>
      </c>
      <c r="J72" s="1" t="s">
        <v>27</v>
      </c>
      <c r="K72" s="1">
        <v>16.690000000000001</v>
      </c>
      <c r="L72" s="1" t="s">
        <v>16</v>
      </c>
      <c r="M72" s="1" t="s">
        <v>17</v>
      </c>
    </row>
    <row r="73" spans="1:13" x14ac:dyDescent="0.25">
      <c r="A73" s="1" t="s">
        <v>95</v>
      </c>
      <c r="B73" s="1">
        <v>32</v>
      </c>
      <c r="C73" s="1" t="s">
        <v>14</v>
      </c>
      <c r="D73" s="1">
        <v>97.69</v>
      </c>
      <c r="E73" s="1">
        <v>18.04</v>
      </c>
      <c r="F73" s="1">
        <v>3</v>
      </c>
      <c r="G73" s="1">
        <v>2</v>
      </c>
      <c r="H73" s="1">
        <v>2</v>
      </c>
      <c r="I73" s="1">
        <v>2.2000000000000002</v>
      </c>
      <c r="J73" s="1" t="s">
        <v>15</v>
      </c>
      <c r="K73" s="1">
        <v>18.899999999999999</v>
      </c>
      <c r="L73" s="1" t="s">
        <v>22</v>
      </c>
      <c r="M73" s="1" t="s">
        <v>20</v>
      </c>
    </row>
    <row r="74" spans="1:13" x14ac:dyDescent="0.25">
      <c r="A74" s="1" t="s">
        <v>96</v>
      </c>
      <c r="B74" s="1">
        <v>52</v>
      </c>
      <c r="C74" s="1" t="s">
        <v>14</v>
      </c>
      <c r="D74" s="1">
        <v>104.99</v>
      </c>
      <c r="E74" s="1">
        <v>22.77</v>
      </c>
      <c r="F74" s="1">
        <v>3</v>
      </c>
      <c r="G74" s="1">
        <v>2</v>
      </c>
      <c r="H74" s="1">
        <v>1</v>
      </c>
      <c r="I74" s="1">
        <v>1.1000000000000001</v>
      </c>
      <c r="J74" s="1" t="s">
        <v>19</v>
      </c>
      <c r="K74" s="1">
        <v>20.66</v>
      </c>
      <c r="L74" s="1" t="s">
        <v>22</v>
      </c>
      <c r="M74" s="1" t="s">
        <v>17</v>
      </c>
    </row>
    <row r="75" spans="1:13" x14ac:dyDescent="0.25">
      <c r="A75" s="1" t="s">
        <v>97</v>
      </c>
      <c r="B75" s="1">
        <v>25</v>
      </c>
      <c r="C75" s="1" t="s">
        <v>26</v>
      </c>
      <c r="D75" s="1">
        <v>88.93</v>
      </c>
      <c r="E75" s="1">
        <v>15.5</v>
      </c>
      <c r="F75" s="1">
        <v>3</v>
      </c>
      <c r="G75" s="1">
        <v>0</v>
      </c>
      <c r="H75" s="1">
        <v>3</v>
      </c>
      <c r="I75" s="1">
        <v>3.8</v>
      </c>
      <c r="J75" s="1" t="s">
        <v>19</v>
      </c>
      <c r="K75" s="1">
        <v>19.600000000000001</v>
      </c>
      <c r="L75" s="1" t="s">
        <v>22</v>
      </c>
      <c r="M75" s="1" t="s">
        <v>20</v>
      </c>
    </row>
    <row r="76" spans="1:13" x14ac:dyDescent="0.25">
      <c r="A76" s="1" t="s">
        <v>98</v>
      </c>
      <c r="B76" s="1">
        <v>41</v>
      </c>
      <c r="C76" s="1" t="s">
        <v>14</v>
      </c>
      <c r="D76" s="1">
        <v>105.5</v>
      </c>
      <c r="E76" s="1">
        <v>20.18</v>
      </c>
      <c r="F76" s="1">
        <v>1</v>
      </c>
      <c r="G76" s="1">
        <v>4</v>
      </c>
      <c r="H76" s="1">
        <v>3</v>
      </c>
      <c r="I76" s="1">
        <v>1.9</v>
      </c>
      <c r="J76" s="1" t="s">
        <v>31</v>
      </c>
      <c r="K76" s="1">
        <v>18.13</v>
      </c>
      <c r="L76" s="1" t="s">
        <v>16</v>
      </c>
      <c r="M76" s="1" t="s">
        <v>17</v>
      </c>
    </row>
    <row r="77" spans="1:13" x14ac:dyDescent="0.25">
      <c r="A77" s="1" t="s">
        <v>99</v>
      </c>
      <c r="B77" s="1">
        <v>38</v>
      </c>
      <c r="C77" s="1" t="s">
        <v>26</v>
      </c>
      <c r="D77" s="1">
        <v>101.47</v>
      </c>
      <c r="E77" s="1">
        <v>15.96</v>
      </c>
      <c r="F77" s="1">
        <v>1</v>
      </c>
      <c r="G77" s="1">
        <v>1</v>
      </c>
      <c r="H77" s="1">
        <v>0</v>
      </c>
      <c r="I77" s="1">
        <v>0.8</v>
      </c>
      <c r="J77" s="1" t="s">
        <v>15</v>
      </c>
      <c r="K77" s="1">
        <v>15.5</v>
      </c>
      <c r="L77" s="1" t="s">
        <v>16</v>
      </c>
      <c r="M77" s="1" t="s">
        <v>17</v>
      </c>
    </row>
    <row r="78" spans="1:13" x14ac:dyDescent="0.25">
      <c r="A78" s="1" t="s">
        <v>100</v>
      </c>
      <c r="B78" s="1">
        <v>46</v>
      </c>
      <c r="C78" s="1" t="s">
        <v>26</v>
      </c>
      <c r="D78" s="1">
        <v>103.84</v>
      </c>
      <c r="E78" s="1">
        <v>17.13</v>
      </c>
      <c r="F78" s="1">
        <v>0</v>
      </c>
      <c r="G78" s="1">
        <v>4</v>
      </c>
      <c r="H78" s="1">
        <v>1</v>
      </c>
      <c r="I78" s="1">
        <v>0.7</v>
      </c>
      <c r="J78" s="1" t="s">
        <v>27</v>
      </c>
      <c r="K78" s="1">
        <v>15.89</v>
      </c>
      <c r="L78" s="1" t="s">
        <v>16</v>
      </c>
      <c r="M78" s="1" t="s">
        <v>17</v>
      </c>
    </row>
    <row r="79" spans="1:13" x14ac:dyDescent="0.25">
      <c r="A79" s="1" t="s">
        <v>101</v>
      </c>
      <c r="B79" s="1">
        <v>45</v>
      </c>
      <c r="C79" s="1" t="s">
        <v>26</v>
      </c>
      <c r="D79" s="1">
        <v>103.74</v>
      </c>
      <c r="E79" s="1">
        <v>18.21</v>
      </c>
      <c r="F79" s="1">
        <v>1</v>
      </c>
      <c r="G79" s="1">
        <v>3</v>
      </c>
      <c r="H79" s="1">
        <v>0</v>
      </c>
      <c r="I79" s="1">
        <v>0.5</v>
      </c>
      <c r="J79" s="1" t="s">
        <v>27</v>
      </c>
      <c r="K79" s="1">
        <v>16.920000000000002</v>
      </c>
      <c r="L79" s="1" t="s">
        <v>16</v>
      </c>
      <c r="M79" s="1" t="s">
        <v>17</v>
      </c>
    </row>
    <row r="80" spans="1:13" x14ac:dyDescent="0.25">
      <c r="A80" s="1" t="s">
        <v>102</v>
      </c>
      <c r="B80" s="1">
        <v>48</v>
      </c>
      <c r="C80" s="1" t="s">
        <v>26</v>
      </c>
      <c r="D80" s="1">
        <v>101.32</v>
      </c>
      <c r="E80" s="1">
        <v>21.93</v>
      </c>
      <c r="F80" s="1">
        <v>4</v>
      </c>
      <c r="G80" s="1">
        <v>2</v>
      </c>
      <c r="H80" s="1">
        <v>2</v>
      </c>
      <c r="I80" s="1">
        <v>2.8</v>
      </c>
      <c r="J80" s="1" t="s">
        <v>19</v>
      </c>
      <c r="K80" s="1">
        <v>21.36</v>
      </c>
      <c r="L80" s="1" t="s">
        <v>22</v>
      </c>
      <c r="M80" s="1" t="s">
        <v>17</v>
      </c>
    </row>
    <row r="81" spans="1:13" x14ac:dyDescent="0.25">
      <c r="A81" s="1" t="s">
        <v>103</v>
      </c>
      <c r="B81" s="1">
        <v>54</v>
      </c>
      <c r="C81" s="1" t="s">
        <v>14</v>
      </c>
      <c r="D81" s="1">
        <v>109.83</v>
      </c>
      <c r="E81" s="1">
        <v>21.35</v>
      </c>
      <c r="F81" s="1">
        <v>3</v>
      </c>
      <c r="G81" s="1">
        <v>2</v>
      </c>
      <c r="H81" s="1">
        <v>1</v>
      </c>
      <c r="I81" s="1">
        <v>0.7</v>
      </c>
      <c r="J81" s="1" t="s">
        <v>31</v>
      </c>
      <c r="K81" s="1">
        <v>17.7</v>
      </c>
      <c r="L81" s="1" t="s">
        <v>16</v>
      </c>
      <c r="M81" s="1" t="s">
        <v>17</v>
      </c>
    </row>
    <row r="82" spans="1:13" x14ac:dyDescent="0.25">
      <c r="A82" s="1" t="s">
        <v>104</v>
      </c>
      <c r="B82" s="1">
        <v>49</v>
      </c>
      <c r="C82" s="1" t="s">
        <v>26</v>
      </c>
      <c r="D82" s="1">
        <v>112.98</v>
      </c>
      <c r="E82" s="1">
        <v>18.22</v>
      </c>
      <c r="F82" s="1">
        <v>3</v>
      </c>
      <c r="G82" s="1">
        <v>1</v>
      </c>
      <c r="H82" s="1">
        <v>1</v>
      </c>
      <c r="I82" s="1">
        <v>1.7</v>
      </c>
      <c r="J82" s="1" t="s">
        <v>15</v>
      </c>
      <c r="K82" s="1">
        <v>14.27</v>
      </c>
      <c r="L82" s="1" t="s">
        <v>16</v>
      </c>
      <c r="M82" s="1" t="s">
        <v>17</v>
      </c>
    </row>
    <row r="83" spans="1:13" x14ac:dyDescent="0.25">
      <c r="A83" s="1" t="s">
        <v>105</v>
      </c>
      <c r="B83" s="1">
        <v>45</v>
      </c>
      <c r="C83" s="1" t="s">
        <v>14</v>
      </c>
      <c r="D83" s="1">
        <v>104.87</v>
      </c>
      <c r="E83" s="1">
        <v>19.66</v>
      </c>
      <c r="F83" s="1">
        <v>1</v>
      </c>
      <c r="G83" s="1">
        <v>4</v>
      </c>
      <c r="H83" s="1">
        <v>2</v>
      </c>
      <c r="I83" s="1">
        <v>1.1000000000000001</v>
      </c>
      <c r="J83" s="1" t="s">
        <v>34</v>
      </c>
      <c r="K83" s="1">
        <v>17.88</v>
      </c>
      <c r="L83" s="1" t="s">
        <v>16</v>
      </c>
      <c r="M83" s="1" t="s">
        <v>17</v>
      </c>
    </row>
    <row r="84" spans="1:13" x14ac:dyDescent="0.25">
      <c r="A84" s="1" t="s">
        <v>106</v>
      </c>
      <c r="B84" s="1">
        <v>30</v>
      </c>
      <c r="C84" s="1" t="s">
        <v>26</v>
      </c>
      <c r="D84" s="1">
        <v>100.81</v>
      </c>
      <c r="E84" s="1">
        <v>14.39</v>
      </c>
      <c r="F84" s="1">
        <v>2</v>
      </c>
      <c r="G84" s="1">
        <v>4</v>
      </c>
      <c r="H84" s="1">
        <v>2</v>
      </c>
      <c r="I84" s="1">
        <v>2.6</v>
      </c>
      <c r="J84" s="1" t="s">
        <v>15</v>
      </c>
      <c r="K84" s="1">
        <v>14.16</v>
      </c>
      <c r="L84" s="1" t="s">
        <v>16</v>
      </c>
      <c r="M84" s="1" t="s">
        <v>20</v>
      </c>
    </row>
    <row r="85" spans="1:13" x14ac:dyDescent="0.25">
      <c r="A85" s="1" t="s">
        <v>107</v>
      </c>
      <c r="B85" s="1">
        <v>29</v>
      </c>
      <c r="C85" s="1" t="s">
        <v>14</v>
      </c>
      <c r="D85" s="1">
        <v>101.16</v>
      </c>
      <c r="E85" s="1">
        <v>14.14</v>
      </c>
      <c r="F85" s="1">
        <v>2</v>
      </c>
      <c r="G85" s="1">
        <v>2</v>
      </c>
      <c r="H85" s="1">
        <v>3</v>
      </c>
      <c r="I85" s="1">
        <v>1.3</v>
      </c>
      <c r="J85" s="1" t="s">
        <v>15</v>
      </c>
      <c r="K85" s="1">
        <v>13.82</v>
      </c>
      <c r="L85" s="1" t="s">
        <v>16</v>
      </c>
      <c r="M85" s="1" t="s">
        <v>20</v>
      </c>
    </row>
    <row r="86" spans="1:13" x14ac:dyDescent="0.25">
      <c r="A86" s="1" t="s">
        <v>108</v>
      </c>
      <c r="B86" s="1">
        <v>57</v>
      </c>
      <c r="C86" s="1" t="s">
        <v>14</v>
      </c>
      <c r="D86" s="1">
        <v>115.19</v>
      </c>
      <c r="E86" s="1">
        <v>20.76</v>
      </c>
      <c r="F86" s="1">
        <v>1</v>
      </c>
      <c r="G86" s="1">
        <v>4</v>
      </c>
      <c r="H86" s="1">
        <v>0</v>
      </c>
      <c r="I86" s="1">
        <v>1</v>
      </c>
      <c r="J86" s="1" t="s">
        <v>15</v>
      </c>
      <c r="K86" s="1">
        <v>15.65</v>
      </c>
      <c r="L86" s="1" t="s">
        <v>16</v>
      </c>
      <c r="M86" s="1" t="s">
        <v>17</v>
      </c>
    </row>
    <row r="87" spans="1:13" x14ac:dyDescent="0.25">
      <c r="A87" s="1" t="s">
        <v>109</v>
      </c>
      <c r="B87" s="1">
        <v>56</v>
      </c>
      <c r="C87" s="1" t="s">
        <v>26</v>
      </c>
      <c r="D87" s="1">
        <v>110.72</v>
      </c>
      <c r="E87" s="1">
        <v>20.149999999999999</v>
      </c>
      <c r="F87" s="1">
        <v>0</v>
      </c>
      <c r="G87" s="1">
        <v>1</v>
      </c>
      <c r="H87" s="1">
        <v>1</v>
      </c>
      <c r="I87" s="1">
        <v>2</v>
      </c>
      <c r="J87" s="1" t="s">
        <v>34</v>
      </c>
      <c r="K87" s="1">
        <v>16.440000000000001</v>
      </c>
      <c r="L87" s="1" t="s">
        <v>16</v>
      </c>
      <c r="M87" s="1" t="s">
        <v>17</v>
      </c>
    </row>
    <row r="88" spans="1:13" x14ac:dyDescent="0.25">
      <c r="A88" s="1" t="s">
        <v>110</v>
      </c>
      <c r="B88" s="1">
        <v>56</v>
      </c>
      <c r="C88" s="1" t="s">
        <v>14</v>
      </c>
      <c r="D88" s="1">
        <v>106.73</v>
      </c>
      <c r="E88" s="1">
        <v>24.09</v>
      </c>
      <c r="F88" s="1">
        <v>0</v>
      </c>
      <c r="G88" s="1">
        <v>1</v>
      </c>
      <c r="H88" s="1">
        <v>3</v>
      </c>
      <c r="I88" s="1">
        <v>1.7</v>
      </c>
      <c r="J88" s="1" t="s">
        <v>34</v>
      </c>
      <c r="K88" s="1">
        <v>21.15</v>
      </c>
      <c r="L88" s="1" t="s">
        <v>22</v>
      </c>
      <c r="M88" s="1" t="s">
        <v>17</v>
      </c>
    </row>
    <row r="89" spans="1:13" x14ac:dyDescent="0.25">
      <c r="A89" s="1" t="s">
        <v>111</v>
      </c>
      <c r="B89" s="1">
        <v>25</v>
      </c>
      <c r="C89" s="1" t="s">
        <v>14</v>
      </c>
      <c r="D89" s="1">
        <v>99.72</v>
      </c>
      <c r="E89" s="1">
        <v>14.9</v>
      </c>
      <c r="F89" s="1">
        <v>4</v>
      </c>
      <c r="G89" s="1">
        <v>2</v>
      </c>
      <c r="H89" s="1">
        <v>3</v>
      </c>
      <c r="I89" s="1">
        <v>2.2000000000000002</v>
      </c>
      <c r="J89" s="1" t="s">
        <v>19</v>
      </c>
      <c r="K89" s="1">
        <v>14.98</v>
      </c>
      <c r="L89" s="1" t="s">
        <v>16</v>
      </c>
      <c r="M89" s="1" t="s">
        <v>20</v>
      </c>
    </row>
    <row r="90" spans="1:13" x14ac:dyDescent="0.25">
      <c r="A90" s="1" t="s">
        <v>112</v>
      </c>
      <c r="B90" s="1">
        <v>30</v>
      </c>
      <c r="C90" s="1" t="s">
        <v>14</v>
      </c>
      <c r="D90" s="1">
        <v>96.45</v>
      </c>
      <c r="E90" s="1">
        <v>14.77</v>
      </c>
      <c r="F90" s="1">
        <v>4</v>
      </c>
      <c r="G90" s="1">
        <v>2</v>
      </c>
      <c r="H90" s="1">
        <v>0</v>
      </c>
      <c r="I90" s="1">
        <v>0.6</v>
      </c>
      <c r="J90" s="1" t="s">
        <v>31</v>
      </c>
      <c r="K90" s="1">
        <v>15.88</v>
      </c>
      <c r="L90" s="1" t="s">
        <v>16</v>
      </c>
      <c r="M90" s="1" t="s">
        <v>20</v>
      </c>
    </row>
    <row r="91" spans="1:13" x14ac:dyDescent="0.25">
      <c r="A91" s="1" t="s">
        <v>113</v>
      </c>
      <c r="B91" s="1">
        <v>53</v>
      </c>
      <c r="C91" s="1" t="s">
        <v>26</v>
      </c>
      <c r="D91" s="1">
        <v>106.44</v>
      </c>
      <c r="E91" s="1">
        <v>20.73</v>
      </c>
      <c r="F91" s="1">
        <v>4</v>
      </c>
      <c r="G91" s="1">
        <v>3</v>
      </c>
      <c r="H91" s="1">
        <v>2</v>
      </c>
      <c r="I91" s="1">
        <v>2</v>
      </c>
      <c r="J91" s="1" t="s">
        <v>15</v>
      </c>
      <c r="K91" s="1">
        <v>18.3</v>
      </c>
      <c r="L91" s="1" t="s">
        <v>16</v>
      </c>
      <c r="M91" s="1" t="s">
        <v>17</v>
      </c>
    </row>
    <row r="92" spans="1:13" x14ac:dyDescent="0.25">
      <c r="A92" s="1" t="s">
        <v>114</v>
      </c>
      <c r="B92" s="1">
        <v>29</v>
      </c>
      <c r="C92" s="1" t="s">
        <v>14</v>
      </c>
      <c r="D92" s="1">
        <v>97.77</v>
      </c>
      <c r="E92" s="1">
        <v>15.72</v>
      </c>
      <c r="F92" s="1">
        <v>2</v>
      </c>
      <c r="G92" s="1">
        <v>0</v>
      </c>
      <c r="H92" s="1">
        <v>0</v>
      </c>
      <c r="I92" s="1">
        <v>0.9</v>
      </c>
      <c r="J92" s="1" t="s">
        <v>15</v>
      </c>
      <c r="K92" s="1">
        <v>16.45</v>
      </c>
      <c r="L92" s="1" t="s">
        <v>16</v>
      </c>
      <c r="M92" s="1" t="s">
        <v>20</v>
      </c>
    </row>
    <row r="93" spans="1:13" x14ac:dyDescent="0.25">
      <c r="A93" s="1" t="s">
        <v>115</v>
      </c>
      <c r="B93" s="1">
        <v>58</v>
      </c>
      <c r="C93" s="1" t="s">
        <v>26</v>
      </c>
      <c r="D93" s="1">
        <v>113.49</v>
      </c>
      <c r="E93" s="1">
        <v>25.26</v>
      </c>
      <c r="F93" s="1">
        <v>0</v>
      </c>
      <c r="G93" s="1">
        <v>4</v>
      </c>
      <c r="H93" s="1">
        <v>3</v>
      </c>
      <c r="I93" s="1">
        <v>3</v>
      </c>
      <c r="J93" s="1" t="s">
        <v>34</v>
      </c>
      <c r="K93" s="1">
        <v>19.61</v>
      </c>
      <c r="L93" s="1" t="s">
        <v>22</v>
      </c>
      <c r="M93" s="1" t="s">
        <v>17</v>
      </c>
    </row>
    <row r="94" spans="1:13" x14ac:dyDescent="0.25">
      <c r="A94" s="1" t="s">
        <v>116</v>
      </c>
      <c r="B94" s="1">
        <v>26</v>
      </c>
      <c r="C94" s="1" t="s">
        <v>26</v>
      </c>
      <c r="D94" s="1">
        <v>92.08</v>
      </c>
      <c r="E94" s="1">
        <v>15.29</v>
      </c>
      <c r="F94" s="1">
        <v>4</v>
      </c>
      <c r="G94" s="1">
        <v>1</v>
      </c>
      <c r="H94" s="1">
        <v>2</v>
      </c>
      <c r="I94" s="1">
        <v>2.6</v>
      </c>
      <c r="J94" s="1" t="s">
        <v>27</v>
      </c>
      <c r="K94" s="1">
        <v>18.03</v>
      </c>
      <c r="L94" s="1" t="s">
        <v>16</v>
      </c>
      <c r="M94" s="1" t="s">
        <v>20</v>
      </c>
    </row>
    <row r="95" spans="1:13" x14ac:dyDescent="0.25">
      <c r="A95" s="1" t="s">
        <v>117</v>
      </c>
      <c r="B95" s="1">
        <v>25</v>
      </c>
      <c r="C95" s="1" t="s">
        <v>14</v>
      </c>
      <c r="D95" s="1">
        <v>96.42</v>
      </c>
      <c r="E95" s="1">
        <v>15.34</v>
      </c>
      <c r="F95" s="1">
        <v>4</v>
      </c>
      <c r="G95" s="1">
        <v>3</v>
      </c>
      <c r="H95" s="1">
        <v>2</v>
      </c>
      <c r="I95" s="1">
        <v>0.9</v>
      </c>
      <c r="J95" s="1" t="s">
        <v>27</v>
      </c>
      <c r="K95" s="1">
        <v>16.5</v>
      </c>
      <c r="L95" s="1" t="s">
        <v>16</v>
      </c>
      <c r="M95" s="1" t="s">
        <v>20</v>
      </c>
    </row>
    <row r="96" spans="1:13" x14ac:dyDescent="0.25">
      <c r="A96" s="1" t="s">
        <v>118</v>
      </c>
      <c r="B96" s="1">
        <v>59</v>
      </c>
      <c r="C96" s="1" t="s">
        <v>14</v>
      </c>
      <c r="D96" s="1">
        <v>108.1</v>
      </c>
      <c r="E96" s="1">
        <v>19.25</v>
      </c>
      <c r="F96" s="1">
        <v>1</v>
      </c>
      <c r="G96" s="1">
        <v>0</v>
      </c>
      <c r="H96" s="1">
        <v>1</v>
      </c>
      <c r="I96" s="1">
        <v>1</v>
      </c>
      <c r="J96" s="1" t="s">
        <v>15</v>
      </c>
      <c r="K96" s="1">
        <v>16.47</v>
      </c>
      <c r="L96" s="1" t="s">
        <v>16</v>
      </c>
      <c r="M96" s="1" t="s">
        <v>17</v>
      </c>
    </row>
    <row r="97" spans="1:13" x14ac:dyDescent="0.25">
      <c r="A97" s="1" t="s">
        <v>119</v>
      </c>
      <c r="B97" s="1">
        <v>50</v>
      </c>
      <c r="C97" s="1" t="s">
        <v>14</v>
      </c>
      <c r="D97" s="1">
        <v>109.15</v>
      </c>
      <c r="E97" s="1">
        <v>22.09</v>
      </c>
      <c r="F97" s="1">
        <v>1</v>
      </c>
      <c r="G97" s="1">
        <v>4</v>
      </c>
      <c r="H97" s="1">
        <v>0</v>
      </c>
      <c r="I97" s="1">
        <v>0.6</v>
      </c>
      <c r="J97" s="1" t="s">
        <v>19</v>
      </c>
      <c r="K97" s="1">
        <v>18.54</v>
      </c>
      <c r="L97" s="1" t="s">
        <v>22</v>
      </c>
      <c r="M97" s="1" t="s">
        <v>17</v>
      </c>
    </row>
    <row r="98" spans="1:13" x14ac:dyDescent="0.25">
      <c r="A98" s="1" t="s">
        <v>120</v>
      </c>
      <c r="B98" s="1">
        <v>48</v>
      </c>
      <c r="C98" s="1" t="s">
        <v>26</v>
      </c>
      <c r="D98" s="1">
        <v>107.71</v>
      </c>
      <c r="E98" s="1">
        <v>19.079999999999998</v>
      </c>
      <c r="F98" s="1">
        <v>0</v>
      </c>
      <c r="G98" s="1">
        <v>2</v>
      </c>
      <c r="H98" s="1">
        <v>2</v>
      </c>
      <c r="I98" s="1">
        <v>1.8</v>
      </c>
      <c r="J98" s="1" t="s">
        <v>27</v>
      </c>
      <c r="K98" s="1">
        <v>16.45</v>
      </c>
      <c r="L98" s="1" t="s">
        <v>16</v>
      </c>
      <c r="M98" s="1" t="s">
        <v>17</v>
      </c>
    </row>
    <row r="99" spans="1:13" x14ac:dyDescent="0.25">
      <c r="A99" s="1" t="s">
        <v>121</v>
      </c>
      <c r="B99" s="1">
        <v>57</v>
      </c>
      <c r="C99" s="1" t="s">
        <v>26</v>
      </c>
      <c r="D99" s="1">
        <v>112.41</v>
      </c>
      <c r="E99" s="1">
        <v>21.55</v>
      </c>
      <c r="F99" s="1">
        <v>2</v>
      </c>
      <c r="G99" s="1">
        <v>4</v>
      </c>
      <c r="H99" s="1">
        <v>0</v>
      </c>
      <c r="I99" s="1">
        <v>0.9</v>
      </c>
      <c r="J99" s="1" t="s">
        <v>15</v>
      </c>
      <c r="K99" s="1">
        <v>17.05</v>
      </c>
      <c r="L99" s="1" t="s">
        <v>16</v>
      </c>
      <c r="M99" s="1" t="s">
        <v>17</v>
      </c>
    </row>
    <row r="100" spans="1:13" x14ac:dyDescent="0.25">
      <c r="A100" s="1" t="s">
        <v>122</v>
      </c>
      <c r="B100" s="1">
        <v>45</v>
      </c>
      <c r="C100" s="1" t="s">
        <v>26</v>
      </c>
      <c r="D100" s="1">
        <v>110.12</v>
      </c>
      <c r="E100" s="1">
        <v>18.510000000000002</v>
      </c>
      <c r="F100" s="1">
        <v>0</v>
      </c>
      <c r="G100" s="1">
        <v>2</v>
      </c>
      <c r="H100" s="1">
        <v>0</v>
      </c>
      <c r="I100" s="1">
        <v>0.9</v>
      </c>
      <c r="J100" s="1" t="s">
        <v>31</v>
      </c>
      <c r="K100" s="1">
        <v>15.26</v>
      </c>
      <c r="L100" s="1" t="s">
        <v>16</v>
      </c>
      <c r="M100" s="1" t="s">
        <v>17</v>
      </c>
    </row>
    <row r="101" spans="1:13" x14ac:dyDescent="0.25">
      <c r="A101" s="1" t="s">
        <v>123</v>
      </c>
      <c r="B101" s="1">
        <v>49</v>
      </c>
      <c r="C101" s="1" t="s">
        <v>26</v>
      </c>
      <c r="D101" s="1">
        <v>106.6</v>
      </c>
      <c r="E101" s="1">
        <v>21.21</v>
      </c>
      <c r="F101" s="1">
        <v>0</v>
      </c>
      <c r="G101" s="1">
        <v>0</v>
      </c>
      <c r="H101" s="1">
        <v>2</v>
      </c>
      <c r="I101" s="1">
        <v>2.5</v>
      </c>
      <c r="J101" s="1" t="s">
        <v>31</v>
      </c>
      <c r="K101" s="1">
        <v>18.66</v>
      </c>
      <c r="L101" s="1" t="s">
        <v>22</v>
      </c>
      <c r="M101" s="1" t="s">
        <v>17</v>
      </c>
    </row>
  </sheetData>
  <dataValidations count="1">
    <dataValidation type="list" allowBlank="1" showInputMessage="1" showErrorMessage="1" sqref="J1:J101">
      <formula1>"South , North , East , West , Central"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A4" workbookViewId="0">
      <selection activeCell="M2" sqref="M2:M101"/>
    </sheetView>
  </sheetViews>
  <sheetFormatPr defaultRowHeight="15" x14ac:dyDescent="0.25"/>
  <cols>
    <col min="1" max="1" width="9.7109375" bestFit="1" customWidth="1"/>
    <col min="2" max="2" width="14.5703125" bestFit="1" customWidth="1"/>
    <col min="3" max="3" width="10" bestFit="1" customWidth="1"/>
    <col min="4" max="4" width="12.7109375" bestFit="1" customWidth="1"/>
    <col min="5" max="5" width="12.85546875" bestFit="1" customWidth="1"/>
    <col min="6" max="6" width="21.5703125" bestFit="1" customWidth="1"/>
    <col min="7" max="7" width="23.7109375" bestFit="1" customWidth="1"/>
    <col min="8" max="8" width="20.42578125" bestFit="1" customWidth="1"/>
    <col min="9" max="9" width="20.140625" bestFit="1" customWidth="1"/>
    <col min="10" max="10" width="9.42578125" bestFit="1" customWidth="1"/>
    <col min="11" max="11" width="6.85546875" bestFit="1" customWidth="1"/>
    <col min="12" max="12" width="13.5703125" bestFit="1" customWidth="1"/>
    <col min="13" max="13" width="12.71093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v>47</v>
      </c>
      <c r="C2" s="1" t="s">
        <v>14</v>
      </c>
      <c r="D2" s="1">
        <v>104.41</v>
      </c>
      <c r="E2" s="1">
        <v>17.34</v>
      </c>
      <c r="F2" s="1">
        <v>1</v>
      </c>
      <c r="G2" s="1">
        <v>2</v>
      </c>
      <c r="H2" s="1">
        <v>3</v>
      </c>
      <c r="I2" s="1">
        <v>1.2</v>
      </c>
      <c r="J2" s="1" t="s">
        <v>15</v>
      </c>
      <c r="K2" s="1">
        <v>15.91</v>
      </c>
      <c r="L2" s="1" t="s">
        <v>16</v>
      </c>
      <c r="M2" s="1" t="s">
        <v>124</v>
      </c>
    </row>
    <row r="3" spans="1:13" x14ac:dyDescent="0.25">
      <c r="A3" s="1" t="s">
        <v>18</v>
      </c>
      <c r="B3" s="1">
        <v>34</v>
      </c>
      <c r="C3" s="1" t="s">
        <v>14</v>
      </c>
      <c r="D3" s="1">
        <v>99.08</v>
      </c>
      <c r="E3" s="1">
        <v>16.21</v>
      </c>
      <c r="F3" s="1">
        <v>0</v>
      </c>
      <c r="G3" s="1">
        <v>1</v>
      </c>
      <c r="H3" s="1">
        <v>1</v>
      </c>
      <c r="I3" s="1">
        <v>1.4</v>
      </c>
      <c r="J3" s="1" t="s">
        <v>19</v>
      </c>
      <c r="K3" s="1">
        <v>16.510000000000002</v>
      </c>
      <c r="L3" s="1" t="s">
        <v>16</v>
      </c>
      <c r="M3" s="1" t="s">
        <v>125</v>
      </c>
    </row>
    <row r="4" spans="1:13" x14ac:dyDescent="0.25">
      <c r="A4" s="1" t="s">
        <v>21</v>
      </c>
      <c r="B4" s="1">
        <v>35</v>
      </c>
      <c r="C4" s="1" t="s">
        <v>14</v>
      </c>
      <c r="D4" s="1">
        <v>94.96</v>
      </c>
      <c r="E4" s="1">
        <v>17.3</v>
      </c>
      <c r="F4" s="1">
        <v>3</v>
      </c>
      <c r="G4" s="1">
        <v>3</v>
      </c>
      <c r="H4" s="1">
        <v>2</v>
      </c>
      <c r="I4" s="1">
        <v>0.6</v>
      </c>
      <c r="J4" s="1" t="s">
        <v>19</v>
      </c>
      <c r="K4" s="1">
        <v>19.190000000000001</v>
      </c>
      <c r="L4" s="1" t="s">
        <v>137</v>
      </c>
      <c r="M4" s="1" t="s">
        <v>125</v>
      </c>
    </row>
    <row r="5" spans="1:13" x14ac:dyDescent="0.25">
      <c r="A5" s="1" t="s">
        <v>23</v>
      </c>
      <c r="B5" s="1">
        <v>39</v>
      </c>
      <c r="C5" s="1" t="s">
        <v>14</v>
      </c>
      <c r="D5" s="1">
        <v>100.65</v>
      </c>
      <c r="E5" s="1">
        <v>20.010000000000002</v>
      </c>
      <c r="F5" s="1">
        <v>2</v>
      </c>
      <c r="G5" s="1">
        <v>0</v>
      </c>
      <c r="H5" s="1">
        <v>1</v>
      </c>
      <c r="I5" s="1">
        <v>1.5</v>
      </c>
      <c r="J5" s="1" t="s">
        <v>19</v>
      </c>
      <c r="K5" s="1">
        <v>19.75</v>
      </c>
      <c r="L5" s="1" t="s">
        <v>137</v>
      </c>
      <c r="M5" s="1" t="s">
        <v>124</v>
      </c>
    </row>
    <row r="6" spans="1:13" x14ac:dyDescent="0.25">
      <c r="A6" s="1" t="s">
        <v>24</v>
      </c>
      <c r="B6" s="1">
        <v>26</v>
      </c>
      <c r="C6" s="1" t="s">
        <v>14</v>
      </c>
      <c r="D6" s="1">
        <v>90.06</v>
      </c>
      <c r="E6" s="1">
        <v>12.16</v>
      </c>
      <c r="F6" s="1">
        <v>0</v>
      </c>
      <c r="G6" s="1">
        <v>1</v>
      </c>
      <c r="H6" s="1">
        <v>0</v>
      </c>
      <c r="I6" s="1">
        <v>0.9</v>
      </c>
      <c r="J6" s="1" t="s">
        <v>15</v>
      </c>
      <c r="K6" s="1">
        <v>14.99</v>
      </c>
      <c r="L6" s="1" t="s">
        <v>16</v>
      </c>
      <c r="M6" s="1" t="s">
        <v>125</v>
      </c>
    </row>
    <row r="7" spans="1:13" x14ac:dyDescent="0.25">
      <c r="A7" s="1" t="s">
        <v>25</v>
      </c>
      <c r="B7" s="1">
        <v>51</v>
      </c>
      <c r="C7" s="1" t="s">
        <v>26</v>
      </c>
      <c r="D7" s="1">
        <v>108.82</v>
      </c>
      <c r="E7" s="1">
        <v>21.54</v>
      </c>
      <c r="F7" s="1">
        <v>0</v>
      </c>
      <c r="G7" s="1">
        <v>1</v>
      </c>
      <c r="H7" s="1">
        <v>1</v>
      </c>
      <c r="I7" s="1">
        <v>0.9</v>
      </c>
      <c r="J7" s="1" t="s">
        <v>27</v>
      </c>
      <c r="K7" s="1">
        <v>18.190000000000001</v>
      </c>
      <c r="L7" s="1" t="s">
        <v>16</v>
      </c>
      <c r="M7" s="1" t="s">
        <v>17</v>
      </c>
    </row>
    <row r="8" spans="1:13" x14ac:dyDescent="0.25">
      <c r="A8" s="1" t="s">
        <v>28</v>
      </c>
      <c r="B8" s="1">
        <v>52</v>
      </c>
      <c r="C8" s="1" t="s">
        <v>26</v>
      </c>
      <c r="D8" s="1">
        <v>110.28</v>
      </c>
      <c r="E8" s="1">
        <v>21.49</v>
      </c>
      <c r="F8" s="1">
        <v>4</v>
      </c>
      <c r="G8" s="1">
        <v>0</v>
      </c>
      <c r="H8" s="1">
        <v>2</v>
      </c>
      <c r="I8" s="1">
        <v>2.8</v>
      </c>
      <c r="J8" s="1" t="s">
        <v>15</v>
      </c>
      <c r="K8" s="1">
        <v>17.670000000000002</v>
      </c>
      <c r="L8" s="1" t="s">
        <v>16</v>
      </c>
      <c r="M8" s="1" t="s">
        <v>17</v>
      </c>
    </row>
    <row r="9" spans="1:13" x14ac:dyDescent="0.25">
      <c r="A9" s="1" t="s">
        <v>29</v>
      </c>
      <c r="B9" s="1">
        <v>52</v>
      </c>
      <c r="C9" s="1" t="s">
        <v>14</v>
      </c>
      <c r="D9" s="1">
        <v>102.65</v>
      </c>
      <c r="E9" s="1">
        <v>19.55</v>
      </c>
      <c r="F9" s="1">
        <v>2</v>
      </c>
      <c r="G9" s="1">
        <v>2</v>
      </c>
      <c r="H9" s="1">
        <v>1</v>
      </c>
      <c r="I9" s="1">
        <v>1.3</v>
      </c>
      <c r="J9" s="1" t="s">
        <v>19</v>
      </c>
      <c r="K9" s="1">
        <v>18.55</v>
      </c>
      <c r="L9" s="1" t="s">
        <v>137</v>
      </c>
      <c r="M9" s="1" t="s">
        <v>17</v>
      </c>
    </row>
    <row r="10" spans="1:13" x14ac:dyDescent="0.25">
      <c r="A10" s="1" t="s">
        <v>30</v>
      </c>
      <c r="B10" s="1">
        <v>28</v>
      </c>
      <c r="C10" s="1" t="s">
        <v>26</v>
      </c>
      <c r="D10" s="1">
        <v>91.47</v>
      </c>
      <c r="E10" s="1">
        <v>16.39</v>
      </c>
      <c r="F10" s="1">
        <v>3</v>
      </c>
      <c r="G10" s="1">
        <v>2</v>
      </c>
      <c r="H10" s="1">
        <v>3</v>
      </c>
      <c r="I10" s="1">
        <v>0.8</v>
      </c>
      <c r="J10" s="1" t="s">
        <v>31</v>
      </c>
      <c r="K10" s="1">
        <v>19.59</v>
      </c>
      <c r="L10" s="1" t="s">
        <v>137</v>
      </c>
      <c r="M10" s="1" t="s">
        <v>125</v>
      </c>
    </row>
    <row r="11" spans="1:13" x14ac:dyDescent="0.25">
      <c r="A11" s="1" t="s">
        <v>32</v>
      </c>
      <c r="B11" s="1">
        <v>44</v>
      </c>
      <c r="C11" s="1" t="s">
        <v>14</v>
      </c>
      <c r="D11" s="1">
        <v>111.89</v>
      </c>
      <c r="E11" s="1">
        <v>17.95</v>
      </c>
      <c r="F11" s="1">
        <v>1</v>
      </c>
      <c r="G11" s="1">
        <v>3</v>
      </c>
      <c r="H11" s="1">
        <v>0</v>
      </c>
      <c r="I11" s="1">
        <v>0.8</v>
      </c>
      <c r="J11" s="1" t="s">
        <v>19</v>
      </c>
      <c r="K11" s="1">
        <v>14.34</v>
      </c>
      <c r="L11" s="1" t="s">
        <v>16</v>
      </c>
      <c r="M11" s="1" t="s">
        <v>124</v>
      </c>
    </row>
    <row r="12" spans="1:13" x14ac:dyDescent="0.25">
      <c r="A12" s="1" t="s">
        <v>33</v>
      </c>
      <c r="B12" s="1">
        <v>25</v>
      </c>
      <c r="C12" s="1" t="s">
        <v>26</v>
      </c>
      <c r="D12" s="1">
        <v>96.25</v>
      </c>
      <c r="E12" s="1">
        <v>13.5</v>
      </c>
      <c r="F12" s="1">
        <v>3</v>
      </c>
      <c r="G12" s="1">
        <v>4</v>
      </c>
      <c r="H12" s="1">
        <v>0</v>
      </c>
      <c r="I12" s="1">
        <v>0.6</v>
      </c>
      <c r="J12" s="1" t="s">
        <v>34</v>
      </c>
      <c r="K12" s="1">
        <v>14.57</v>
      </c>
      <c r="L12" s="1" t="s">
        <v>16</v>
      </c>
      <c r="M12" s="1" t="s">
        <v>125</v>
      </c>
    </row>
    <row r="13" spans="1:13" x14ac:dyDescent="0.25">
      <c r="A13" s="1" t="s">
        <v>35</v>
      </c>
      <c r="B13" s="1">
        <v>32</v>
      </c>
      <c r="C13" s="1" t="s">
        <v>14</v>
      </c>
      <c r="D13" s="1">
        <v>96.02</v>
      </c>
      <c r="E13" s="1">
        <v>16.55</v>
      </c>
      <c r="F13" s="1">
        <v>2</v>
      </c>
      <c r="G13" s="1">
        <v>0</v>
      </c>
      <c r="H13" s="1">
        <v>2</v>
      </c>
      <c r="I13" s="1">
        <v>1</v>
      </c>
      <c r="J13" s="1" t="s">
        <v>31</v>
      </c>
      <c r="K13" s="1">
        <v>17.95</v>
      </c>
      <c r="L13" s="1" t="s">
        <v>16</v>
      </c>
      <c r="M13" s="1" t="s">
        <v>125</v>
      </c>
    </row>
    <row r="14" spans="1:13" x14ac:dyDescent="0.25">
      <c r="A14" s="1" t="s">
        <v>36</v>
      </c>
      <c r="B14" s="1">
        <v>34</v>
      </c>
      <c r="C14" s="1" t="s">
        <v>26</v>
      </c>
      <c r="D14" s="1">
        <v>97.37</v>
      </c>
      <c r="E14" s="1">
        <v>15.55</v>
      </c>
      <c r="F14" s="1">
        <v>0</v>
      </c>
      <c r="G14" s="1">
        <v>1</v>
      </c>
      <c r="H14" s="1">
        <v>2</v>
      </c>
      <c r="I14" s="1">
        <v>1.3</v>
      </c>
      <c r="J14" s="1" t="s">
        <v>27</v>
      </c>
      <c r="K14" s="1">
        <v>16.399999999999999</v>
      </c>
      <c r="L14" s="1" t="s">
        <v>16</v>
      </c>
      <c r="M14" s="1" t="s">
        <v>125</v>
      </c>
    </row>
    <row r="15" spans="1:13" x14ac:dyDescent="0.25">
      <c r="A15" s="1" t="s">
        <v>37</v>
      </c>
      <c r="B15" s="1">
        <v>49</v>
      </c>
      <c r="C15" s="1" t="s">
        <v>26</v>
      </c>
      <c r="D15" s="1">
        <v>108.39</v>
      </c>
      <c r="E15" s="1">
        <v>20.100000000000001</v>
      </c>
      <c r="F15" s="1">
        <v>0</v>
      </c>
      <c r="G15" s="1">
        <v>2</v>
      </c>
      <c r="H15" s="1">
        <v>3</v>
      </c>
      <c r="I15" s="1">
        <v>0.6</v>
      </c>
      <c r="J15" s="1" t="s">
        <v>27</v>
      </c>
      <c r="K15" s="1">
        <v>17.11</v>
      </c>
      <c r="L15" s="1" t="s">
        <v>16</v>
      </c>
      <c r="M15" s="1" t="s">
        <v>17</v>
      </c>
    </row>
    <row r="16" spans="1:13" x14ac:dyDescent="0.25">
      <c r="A16" s="1" t="s">
        <v>38</v>
      </c>
      <c r="B16" s="1">
        <v>25</v>
      </c>
      <c r="C16" s="1" t="s">
        <v>26</v>
      </c>
      <c r="D16" s="1">
        <v>92.58</v>
      </c>
      <c r="E16" s="1">
        <v>15.13</v>
      </c>
      <c r="F16" s="1">
        <v>2</v>
      </c>
      <c r="G16" s="1">
        <v>2</v>
      </c>
      <c r="H16" s="1">
        <v>2</v>
      </c>
      <c r="I16" s="1">
        <v>1.6</v>
      </c>
      <c r="J16" s="1" t="s">
        <v>19</v>
      </c>
      <c r="K16" s="1">
        <v>17.649999999999999</v>
      </c>
      <c r="L16" s="1" t="s">
        <v>16</v>
      </c>
      <c r="M16" s="1" t="s">
        <v>125</v>
      </c>
    </row>
    <row r="17" spans="1:13" x14ac:dyDescent="0.25">
      <c r="A17" s="1" t="s">
        <v>39</v>
      </c>
      <c r="B17" s="1">
        <v>38</v>
      </c>
      <c r="C17" s="1" t="s">
        <v>26</v>
      </c>
      <c r="D17" s="1">
        <v>99.65</v>
      </c>
      <c r="E17" s="1">
        <v>16.940000000000001</v>
      </c>
      <c r="F17" s="1">
        <v>1</v>
      </c>
      <c r="G17" s="1">
        <v>3</v>
      </c>
      <c r="H17" s="1">
        <v>3</v>
      </c>
      <c r="I17" s="1">
        <v>2.1</v>
      </c>
      <c r="J17" s="1" t="s">
        <v>19</v>
      </c>
      <c r="K17" s="1">
        <v>17.059999999999999</v>
      </c>
      <c r="L17" s="1" t="s">
        <v>16</v>
      </c>
      <c r="M17" s="1" t="s">
        <v>124</v>
      </c>
    </row>
    <row r="18" spans="1:13" x14ac:dyDescent="0.25">
      <c r="A18" s="1" t="s">
        <v>40</v>
      </c>
      <c r="B18" s="1">
        <v>38</v>
      </c>
      <c r="C18" s="1" t="s">
        <v>14</v>
      </c>
      <c r="D18" s="1">
        <v>98.91</v>
      </c>
      <c r="E18" s="1">
        <v>19.489999999999998</v>
      </c>
      <c r="F18" s="1">
        <v>0</v>
      </c>
      <c r="G18" s="1">
        <v>0</v>
      </c>
      <c r="H18" s="1">
        <v>3</v>
      </c>
      <c r="I18" s="1">
        <v>3.1</v>
      </c>
      <c r="J18" s="1" t="s">
        <v>19</v>
      </c>
      <c r="K18" s="1">
        <v>19.920000000000002</v>
      </c>
      <c r="L18" s="1" t="s">
        <v>137</v>
      </c>
      <c r="M18" s="1" t="s">
        <v>124</v>
      </c>
    </row>
    <row r="19" spans="1:13" x14ac:dyDescent="0.25">
      <c r="A19" s="1" t="s">
        <v>41</v>
      </c>
      <c r="B19" s="1">
        <v>25</v>
      </c>
      <c r="C19" s="1" t="s">
        <v>14</v>
      </c>
      <c r="D19" s="1">
        <v>96.42</v>
      </c>
      <c r="E19" s="1">
        <v>14.69</v>
      </c>
      <c r="F19" s="1">
        <v>1</v>
      </c>
      <c r="G19" s="1">
        <v>3</v>
      </c>
      <c r="H19" s="1">
        <v>2</v>
      </c>
      <c r="I19" s="1">
        <v>1.2</v>
      </c>
      <c r="J19" s="1" t="s">
        <v>31</v>
      </c>
      <c r="K19" s="1">
        <v>15.8</v>
      </c>
      <c r="L19" s="1" t="s">
        <v>16</v>
      </c>
      <c r="M19" s="1" t="s">
        <v>125</v>
      </c>
    </row>
    <row r="20" spans="1:13" x14ac:dyDescent="0.25">
      <c r="A20" s="1" t="s">
        <v>42</v>
      </c>
      <c r="B20" s="1">
        <v>57</v>
      </c>
      <c r="C20" s="1" t="s">
        <v>14</v>
      </c>
      <c r="D20" s="1">
        <v>109.26</v>
      </c>
      <c r="E20" s="1">
        <v>20.61</v>
      </c>
      <c r="F20" s="1">
        <v>3</v>
      </c>
      <c r="G20" s="1">
        <v>2</v>
      </c>
      <c r="H20" s="1">
        <v>1</v>
      </c>
      <c r="I20" s="1">
        <v>2</v>
      </c>
      <c r="J20" s="1" t="s">
        <v>27</v>
      </c>
      <c r="K20" s="1">
        <v>17.260000000000002</v>
      </c>
      <c r="L20" s="1" t="s">
        <v>16</v>
      </c>
      <c r="M20" s="1" t="s">
        <v>17</v>
      </c>
    </row>
    <row r="21" spans="1:13" x14ac:dyDescent="0.25">
      <c r="A21" s="1" t="s">
        <v>43</v>
      </c>
      <c r="B21" s="1">
        <v>34</v>
      </c>
      <c r="C21" s="1" t="s">
        <v>26</v>
      </c>
      <c r="D21" s="1">
        <v>98.22</v>
      </c>
      <c r="E21" s="1">
        <v>15.49</v>
      </c>
      <c r="F21" s="1">
        <v>1</v>
      </c>
      <c r="G21" s="1">
        <v>2</v>
      </c>
      <c r="H21" s="1">
        <v>0</v>
      </c>
      <c r="I21" s="1">
        <v>0.8</v>
      </c>
      <c r="J21" s="1" t="s">
        <v>19</v>
      </c>
      <c r="K21" s="1">
        <v>16.059999999999999</v>
      </c>
      <c r="L21" s="1" t="s">
        <v>16</v>
      </c>
      <c r="M21" s="1" t="s">
        <v>125</v>
      </c>
    </row>
    <row r="22" spans="1:13" x14ac:dyDescent="0.25">
      <c r="A22" s="1" t="s">
        <v>44</v>
      </c>
      <c r="B22" s="1">
        <v>35</v>
      </c>
      <c r="C22" s="1" t="s">
        <v>14</v>
      </c>
      <c r="D22" s="1">
        <v>101.02</v>
      </c>
      <c r="E22" s="1">
        <v>16.760000000000002</v>
      </c>
      <c r="F22" s="1">
        <v>3</v>
      </c>
      <c r="G22" s="1">
        <v>2</v>
      </c>
      <c r="H22" s="1">
        <v>2</v>
      </c>
      <c r="I22" s="1">
        <v>1.9</v>
      </c>
      <c r="J22" s="1" t="s">
        <v>15</v>
      </c>
      <c r="K22" s="1">
        <v>16.420000000000002</v>
      </c>
      <c r="L22" s="1" t="s">
        <v>16</v>
      </c>
      <c r="M22" s="1" t="s">
        <v>125</v>
      </c>
    </row>
    <row r="23" spans="1:13" x14ac:dyDescent="0.25">
      <c r="A23" s="1" t="s">
        <v>45</v>
      </c>
      <c r="B23" s="1">
        <v>56</v>
      </c>
      <c r="C23" s="1" t="s">
        <v>26</v>
      </c>
      <c r="D23" s="1">
        <v>111.44</v>
      </c>
      <c r="E23" s="1">
        <v>21.87</v>
      </c>
      <c r="F23" s="1">
        <v>4</v>
      </c>
      <c r="G23" s="1">
        <v>1</v>
      </c>
      <c r="H23" s="1">
        <v>2</v>
      </c>
      <c r="I23" s="1">
        <v>1.9</v>
      </c>
      <c r="J23" s="1" t="s">
        <v>27</v>
      </c>
      <c r="K23" s="1">
        <v>17.61</v>
      </c>
      <c r="L23" s="1" t="s">
        <v>16</v>
      </c>
      <c r="M23" s="1" t="s">
        <v>17</v>
      </c>
    </row>
    <row r="24" spans="1:13" x14ac:dyDescent="0.25">
      <c r="A24" s="1" t="s">
        <v>46</v>
      </c>
      <c r="B24" s="1">
        <v>46</v>
      </c>
      <c r="C24" s="1" t="s">
        <v>26</v>
      </c>
      <c r="D24" s="1">
        <v>103.85</v>
      </c>
      <c r="E24" s="1">
        <v>19.47</v>
      </c>
      <c r="F24" s="1">
        <v>2</v>
      </c>
      <c r="G24" s="1">
        <v>4</v>
      </c>
      <c r="H24" s="1">
        <v>3</v>
      </c>
      <c r="I24" s="1">
        <v>2.9</v>
      </c>
      <c r="J24" s="1" t="s">
        <v>27</v>
      </c>
      <c r="K24" s="1">
        <v>18.05</v>
      </c>
      <c r="L24" s="1" t="s">
        <v>16</v>
      </c>
      <c r="M24" s="1" t="s">
        <v>124</v>
      </c>
    </row>
    <row r="25" spans="1:13" x14ac:dyDescent="0.25">
      <c r="A25" s="1" t="s">
        <v>47</v>
      </c>
      <c r="B25" s="1">
        <v>35</v>
      </c>
      <c r="C25" s="1" t="s">
        <v>14</v>
      </c>
      <c r="D25" s="1">
        <v>102.67</v>
      </c>
      <c r="E25" s="1">
        <v>13.79</v>
      </c>
      <c r="F25" s="1">
        <v>4</v>
      </c>
      <c r="G25" s="1">
        <v>1</v>
      </c>
      <c r="H25" s="1">
        <v>1</v>
      </c>
      <c r="I25" s="1">
        <v>2</v>
      </c>
      <c r="J25" s="1" t="s">
        <v>19</v>
      </c>
      <c r="K25" s="1">
        <v>13.08</v>
      </c>
      <c r="L25" s="1" t="s">
        <v>16</v>
      </c>
      <c r="M25" s="1" t="s">
        <v>125</v>
      </c>
    </row>
    <row r="26" spans="1:13" x14ac:dyDescent="0.25">
      <c r="A26" s="1" t="s">
        <v>48</v>
      </c>
      <c r="B26" s="1">
        <v>52</v>
      </c>
      <c r="C26" s="1" t="s">
        <v>26</v>
      </c>
      <c r="D26" s="1">
        <v>107.91</v>
      </c>
      <c r="E26" s="1">
        <v>19.27</v>
      </c>
      <c r="F26" s="1">
        <v>4</v>
      </c>
      <c r="G26" s="1">
        <v>0</v>
      </c>
      <c r="H26" s="1">
        <v>0</v>
      </c>
      <c r="I26" s="1">
        <v>0.8</v>
      </c>
      <c r="J26" s="1" t="s">
        <v>27</v>
      </c>
      <c r="K26" s="1">
        <v>16.55</v>
      </c>
      <c r="L26" s="1" t="s">
        <v>16</v>
      </c>
      <c r="M26" s="1" t="s">
        <v>17</v>
      </c>
    </row>
    <row r="27" spans="1:13" x14ac:dyDescent="0.25">
      <c r="A27" s="1" t="s">
        <v>49</v>
      </c>
      <c r="B27" s="1">
        <v>30</v>
      </c>
      <c r="C27" s="1" t="s">
        <v>14</v>
      </c>
      <c r="D27" s="1">
        <v>96.67</v>
      </c>
      <c r="E27" s="1">
        <v>15.72</v>
      </c>
      <c r="F27" s="1">
        <v>3</v>
      </c>
      <c r="G27" s="1">
        <v>1</v>
      </c>
      <c r="H27" s="1">
        <v>2</v>
      </c>
      <c r="I27" s="1">
        <v>1.2</v>
      </c>
      <c r="J27" s="1" t="s">
        <v>31</v>
      </c>
      <c r="K27" s="1">
        <v>16.82</v>
      </c>
      <c r="L27" s="1" t="s">
        <v>16</v>
      </c>
      <c r="M27" s="1" t="s">
        <v>125</v>
      </c>
    </row>
    <row r="28" spans="1:13" x14ac:dyDescent="0.25">
      <c r="A28" s="1" t="s">
        <v>50</v>
      </c>
      <c r="B28" s="1">
        <v>35</v>
      </c>
      <c r="C28" s="1" t="s">
        <v>26</v>
      </c>
      <c r="D28" s="1">
        <v>101.41</v>
      </c>
      <c r="E28" s="1">
        <v>19.45</v>
      </c>
      <c r="F28" s="1">
        <v>0</v>
      </c>
      <c r="G28" s="1">
        <v>4</v>
      </c>
      <c r="H28" s="1">
        <v>2</v>
      </c>
      <c r="I28" s="1">
        <v>1.9</v>
      </c>
      <c r="J28" s="1" t="s">
        <v>15</v>
      </c>
      <c r="K28" s="1">
        <v>18.91</v>
      </c>
      <c r="L28" s="1" t="s">
        <v>137</v>
      </c>
      <c r="M28" s="1" t="s">
        <v>125</v>
      </c>
    </row>
    <row r="29" spans="1:13" x14ac:dyDescent="0.25">
      <c r="A29" s="1" t="s">
        <v>51</v>
      </c>
      <c r="B29" s="1">
        <v>32</v>
      </c>
      <c r="C29" s="1" t="s">
        <v>14</v>
      </c>
      <c r="D29" s="1">
        <v>102.28</v>
      </c>
      <c r="E29" s="1">
        <v>11.75</v>
      </c>
      <c r="F29" s="1">
        <v>2</v>
      </c>
      <c r="G29" s="1">
        <v>1</v>
      </c>
      <c r="H29" s="1">
        <v>1</v>
      </c>
      <c r="I29" s="1">
        <v>1.3</v>
      </c>
      <c r="J29" s="1" t="s">
        <v>27</v>
      </c>
      <c r="K29" s="1">
        <v>11.23</v>
      </c>
      <c r="L29" s="1" t="s">
        <v>16</v>
      </c>
      <c r="M29" s="1" t="s">
        <v>125</v>
      </c>
    </row>
    <row r="30" spans="1:13" x14ac:dyDescent="0.25">
      <c r="A30" s="1" t="s">
        <v>52</v>
      </c>
      <c r="B30" s="1">
        <v>46</v>
      </c>
      <c r="C30" s="1" t="s">
        <v>26</v>
      </c>
      <c r="D30" s="1">
        <v>105.06</v>
      </c>
      <c r="E30" s="1">
        <v>17.260000000000002</v>
      </c>
      <c r="F30" s="1">
        <v>4</v>
      </c>
      <c r="G30" s="1">
        <v>1</v>
      </c>
      <c r="H30" s="1">
        <v>2</v>
      </c>
      <c r="I30" s="1">
        <v>0.8</v>
      </c>
      <c r="J30" s="1" t="s">
        <v>19</v>
      </c>
      <c r="K30" s="1">
        <v>15.64</v>
      </c>
      <c r="L30" s="1" t="s">
        <v>16</v>
      </c>
      <c r="M30" s="1" t="s">
        <v>124</v>
      </c>
    </row>
    <row r="31" spans="1:13" x14ac:dyDescent="0.25">
      <c r="A31" s="1" t="s">
        <v>53</v>
      </c>
      <c r="B31" s="1">
        <v>43</v>
      </c>
      <c r="C31" s="1" t="s">
        <v>26</v>
      </c>
      <c r="D31" s="1">
        <v>103.22</v>
      </c>
      <c r="E31" s="1">
        <v>20.74</v>
      </c>
      <c r="F31" s="1">
        <v>2</v>
      </c>
      <c r="G31" s="1">
        <v>2</v>
      </c>
      <c r="H31" s="1">
        <v>3</v>
      </c>
      <c r="I31" s="1">
        <v>2.1</v>
      </c>
      <c r="J31" s="1" t="s">
        <v>15</v>
      </c>
      <c r="K31" s="1">
        <v>19.47</v>
      </c>
      <c r="L31" s="1" t="s">
        <v>137</v>
      </c>
      <c r="M31" s="1" t="s">
        <v>124</v>
      </c>
    </row>
    <row r="32" spans="1:13" x14ac:dyDescent="0.25">
      <c r="A32" s="1" t="s">
        <v>54</v>
      </c>
      <c r="B32" s="1">
        <v>46</v>
      </c>
      <c r="C32" s="1" t="s">
        <v>14</v>
      </c>
      <c r="D32" s="1">
        <v>105.42</v>
      </c>
      <c r="E32" s="1">
        <v>20.23</v>
      </c>
      <c r="F32" s="1">
        <v>4</v>
      </c>
      <c r="G32" s="1">
        <v>0</v>
      </c>
      <c r="H32" s="1">
        <v>2</v>
      </c>
      <c r="I32" s="1">
        <v>2.2999999999999998</v>
      </c>
      <c r="J32" s="1" t="s">
        <v>34</v>
      </c>
      <c r="K32" s="1">
        <v>18.2</v>
      </c>
      <c r="L32" s="1" t="s">
        <v>16</v>
      </c>
      <c r="M32" s="1" t="s">
        <v>124</v>
      </c>
    </row>
    <row r="33" spans="1:13" x14ac:dyDescent="0.25">
      <c r="A33" s="1" t="s">
        <v>55</v>
      </c>
      <c r="B33" s="1">
        <v>32</v>
      </c>
      <c r="C33" s="1" t="s">
        <v>26</v>
      </c>
      <c r="D33" s="1">
        <v>97.29</v>
      </c>
      <c r="E33" s="1">
        <v>12.89</v>
      </c>
      <c r="F33" s="1">
        <v>4</v>
      </c>
      <c r="G33" s="1">
        <v>2</v>
      </c>
      <c r="H33" s="1">
        <v>2</v>
      </c>
      <c r="I33" s="1">
        <v>1.3</v>
      </c>
      <c r="J33" s="1" t="s">
        <v>19</v>
      </c>
      <c r="K33" s="1">
        <v>13.62</v>
      </c>
      <c r="L33" s="1" t="s">
        <v>16</v>
      </c>
      <c r="M33" s="1" t="s">
        <v>125</v>
      </c>
    </row>
    <row r="34" spans="1:13" x14ac:dyDescent="0.25">
      <c r="A34" s="1" t="s">
        <v>56</v>
      </c>
      <c r="B34" s="1">
        <v>46</v>
      </c>
      <c r="C34" s="1" t="s">
        <v>26</v>
      </c>
      <c r="D34" s="1">
        <v>106.22</v>
      </c>
      <c r="E34" s="1">
        <v>19.48</v>
      </c>
      <c r="F34" s="1">
        <v>4</v>
      </c>
      <c r="G34" s="1">
        <v>3</v>
      </c>
      <c r="H34" s="1">
        <v>0</v>
      </c>
      <c r="I34" s="1">
        <v>0.7</v>
      </c>
      <c r="J34" s="1" t="s">
        <v>15</v>
      </c>
      <c r="K34" s="1">
        <v>17.27</v>
      </c>
      <c r="L34" s="1" t="s">
        <v>16</v>
      </c>
      <c r="M34" s="1" t="s">
        <v>124</v>
      </c>
    </row>
    <row r="35" spans="1:13" x14ac:dyDescent="0.25">
      <c r="A35" s="1" t="s">
        <v>57</v>
      </c>
      <c r="B35" s="1">
        <v>56</v>
      </c>
      <c r="C35" s="1" t="s">
        <v>14</v>
      </c>
      <c r="D35" s="1">
        <v>114.63</v>
      </c>
      <c r="E35" s="1">
        <v>20.11</v>
      </c>
      <c r="F35" s="1">
        <v>2</v>
      </c>
      <c r="G35" s="1">
        <v>1</v>
      </c>
      <c r="H35" s="1">
        <v>0</v>
      </c>
      <c r="I35" s="1">
        <v>0.8</v>
      </c>
      <c r="J35" s="1" t="s">
        <v>34</v>
      </c>
      <c r="K35" s="1">
        <v>15.3</v>
      </c>
      <c r="L35" s="1" t="s">
        <v>16</v>
      </c>
      <c r="M35" s="1" t="s">
        <v>17</v>
      </c>
    </row>
    <row r="36" spans="1:13" x14ac:dyDescent="0.25">
      <c r="A36" s="1" t="s">
        <v>58</v>
      </c>
      <c r="B36" s="1">
        <v>30</v>
      </c>
      <c r="C36" s="1" t="s">
        <v>14</v>
      </c>
      <c r="D36" s="1">
        <v>93.15</v>
      </c>
      <c r="E36" s="1">
        <v>14.24</v>
      </c>
      <c r="F36" s="1">
        <v>1</v>
      </c>
      <c r="G36" s="1">
        <v>1</v>
      </c>
      <c r="H36" s="1">
        <v>2</v>
      </c>
      <c r="I36" s="1">
        <v>1.3</v>
      </c>
      <c r="J36" s="1" t="s">
        <v>19</v>
      </c>
      <c r="K36" s="1">
        <v>16.41</v>
      </c>
      <c r="L36" s="1" t="s">
        <v>16</v>
      </c>
      <c r="M36" s="1" t="s">
        <v>125</v>
      </c>
    </row>
    <row r="37" spans="1:13" x14ac:dyDescent="0.25">
      <c r="A37" s="1" t="s">
        <v>59</v>
      </c>
      <c r="B37" s="1">
        <v>44</v>
      </c>
      <c r="C37" s="1" t="s">
        <v>14</v>
      </c>
      <c r="D37" s="1">
        <v>102.36</v>
      </c>
      <c r="E37" s="1">
        <v>19.600000000000001</v>
      </c>
      <c r="F37" s="1">
        <v>1</v>
      </c>
      <c r="G37" s="1">
        <v>2</v>
      </c>
      <c r="H37" s="1">
        <v>0</v>
      </c>
      <c r="I37" s="1">
        <v>0.9</v>
      </c>
      <c r="J37" s="1" t="s">
        <v>34</v>
      </c>
      <c r="K37" s="1">
        <v>18.71</v>
      </c>
      <c r="L37" s="1" t="s">
        <v>137</v>
      </c>
      <c r="M37" s="1" t="s">
        <v>124</v>
      </c>
    </row>
    <row r="38" spans="1:13" x14ac:dyDescent="0.25">
      <c r="A38" s="1" t="s">
        <v>60</v>
      </c>
      <c r="B38" s="1">
        <v>43</v>
      </c>
      <c r="C38" s="1" t="s">
        <v>14</v>
      </c>
      <c r="D38" s="1">
        <v>105.34</v>
      </c>
      <c r="E38" s="1">
        <v>14.14</v>
      </c>
      <c r="F38" s="1">
        <v>4</v>
      </c>
      <c r="G38" s="1">
        <v>3</v>
      </c>
      <c r="H38" s="1">
        <v>0</v>
      </c>
      <c r="I38" s="1">
        <v>0.8</v>
      </c>
      <c r="J38" s="1" t="s">
        <v>27</v>
      </c>
      <c r="K38" s="1">
        <v>12.74</v>
      </c>
      <c r="L38" s="1" t="s">
        <v>16</v>
      </c>
      <c r="M38" s="1" t="s">
        <v>124</v>
      </c>
    </row>
    <row r="39" spans="1:13" x14ac:dyDescent="0.25">
      <c r="A39" s="1" t="s">
        <v>61</v>
      </c>
      <c r="B39" s="1">
        <v>31</v>
      </c>
      <c r="C39" s="1" t="s">
        <v>14</v>
      </c>
      <c r="D39" s="1">
        <v>96.26</v>
      </c>
      <c r="E39" s="1">
        <v>17.63</v>
      </c>
      <c r="F39" s="1">
        <v>3</v>
      </c>
      <c r="G39" s="1">
        <v>3</v>
      </c>
      <c r="H39" s="1">
        <v>2</v>
      </c>
      <c r="I39" s="1">
        <v>1.7</v>
      </c>
      <c r="J39" s="1" t="s">
        <v>27</v>
      </c>
      <c r="K39" s="1">
        <v>19.03</v>
      </c>
      <c r="L39" s="1" t="s">
        <v>137</v>
      </c>
      <c r="M39" s="1" t="s">
        <v>125</v>
      </c>
    </row>
    <row r="40" spans="1:13" x14ac:dyDescent="0.25">
      <c r="A40" s="1" t="s">
        <v>62</v>
      </c>
      <c r="B40" s="1">
        <v>28</v>
      </c>
      <c r="C40" s="1" t="s">
        <v>26</v>
      </c>
      <c r="D40" s="1">
        <v>97.25</v>
      </c>
      <c r="E40" s="1">
        <v>14.98</v>
      </c>
      <c r="F40" s="1">
        <v>3</v>
      </c>
      <c r="G40" s="1">
        <v>4</v>
      </c>
      <c r="H40" s="1">
        <v>3</v>
      </c>
      <c r="I40" s="1">
        <v>3.2</v>
      </c>
      <c r="J40" s="1" t="s">
        <v>19</v>
      </c>
      <c r="K40" s="1">
        <v>15.84</v>
      </c>
      <c r="L40" s="1" t="s">
        <v>16</v>
      </c>
      <c r="M40" s="1" t="s">
        <v>125</v>
      </c>
    </row>
    <row r="41" spans="1:13" x14ac:dyDescent="0.25">
      <c r="A41" s="1" t="s">
        <v>63</v>
      </c>
      <c r="B41" s="1">
        <v>48</v>
      </c>
      <c r="C41" s="1" t="s">
        <v>26</v>
      </c>
      <c r="D41" s="1">
        <v>108.23</v>
      </c>
      <c r="E41" s="1">
        <v>21</v>
      </c>
      <c r="F41" s="1">
        <v>3</v>
      </c>
      <c r="G41" s="1">
        <v>4</v>
      </c>
      <c r="H41" s="1">
        <v>0</v>
      </c>
      <c r="I41" s="1">
        <v>0.6</v>
      </c>
      <c r="J41" s="1" t="s">
        <v>19</v>
      </c>
      <c r="K41" s="1">
        <v>17.93</v>
      </c>
      <c r="L41" s="1" t="s">
        <v>16</v>
      </c>
      <c r="M41" s="1" t="s">
        <v>124</v>
      </c>
    </row>
    <row r="42" spans="1:13" x14ac:dyDescent="0.25">
      <c r="A42" s="1" t="s">
        <v>64</v>
      </c>
      <c r="B42" s="1">
        <v>27</v>
      </c>
      <c r="C42" s="1" t="s">
        <v>26</v>
      </c>
      <c r="D42" s="1">
        <v>97</v>
      </c>
      <c r="E42" s="1">
        <v>15.12</v>
      </c>
      <c r="F42" s="1">
        <v>4</v>
      </c>
      <c r="G42" s="1">
        <v>0</v>
      </c>
      <c r="H42" s="1">
        <v>1</v>
      </c>
      <c r="I42" s="1">
        <v>1.7</v>
      </c>
      <c r="J42" s="1" t="s">
        <v>31</v>
      </c>
      <c r="K42" s="1">
        <v>16.07</v>
      </c>
      <c r="L42" s="1" t="s">
        <v>16</v>
      </c>
      <c r="M42" s="1" t="s">
        <v>125</v>
      </c>
    </row>
    <row r="43" spans="1:13" x14ac:dyDescent="0.25">
      <c r="A43" s="1" t="s">
        <v>65</v>
      </c>
      <c r="B43" s="1">
        <v>45</v>
      </c>
      <c r="C43" s="1" t="s">
        <v>26</v>
      </c>
      <c r="D43" s="1">
        <v>107.27</v>
      </c>
      <c r="E43" s="1">
        <v>22.7</v>
      </c>
      <c r="F43" s="1">
        <v>4</v>
      </c>
      <c r="G43" s="1">
        <v>0</v>
      </c>
      <c r="H43" s="1">
        <v>0</v>
      </c>
      <c r="I43" s="1">
        <v>0.8</v>
      </c>
      <c r="J43" s="1" t="s">
        <v>15</v>
      </c>
      <c r="K43" s="1">
        <v>19.73</v>
      </c>
      <c r="L43" s="1" t="s">
        <v>137</v>
      </c>
      <c r="M43" s="1" t="s">
        <v>124</v>
      </c>
    </row>
    <row r="44" spans="1:13" x14ac:dyDescent="0.25">
      <c r="A44" s="1" t="s">
        <v>66</v>
      </c>
      <c r="B44" s="1">
        <v>54</v>
      </c>
      <c r="C44" s="1" t="s">
        <v>26</v>
      </c>
      <c r="D44" s="1">
        <v>112.46</v>
      </c>
      <c r="E44" s="1">
        <v>21.36</v>
      </c>
      <c r="F44" s="1">
        <v>2</v>
      </c>
      <c r="G44" s="1">
        <v>0</v>
      </c>
      <c r="H44" s="1">
        <v>1</v>
      </c>
      <c r="I44" s="1">
        <v>1</v>
      </c>
      <c r="J44" s="1" t="s">
        <v>19</v>
      </c>
      <c r="K44" s="1">
        <v>16.89</v>
      </c>
      <c r="L44" s="1" t="s">
        <v>16</v>
      </c>
      <c r="M44" s="1" t="s">
        <v>17</v>
      </c>
    </row>
    <row r="45" spans="1:13" x14ac:dyDescent="0.25">
      <c r="A45" s="1" t="s">
        <v>67</v>
      </c>
      <c r="B45" s="1">
        <v>40</v>
      </c>
      <c r="C45" s="1" t="s">
        <v>26</v>
      </c>
      <c r="D45" s="1">
        <v>103.32</v>
      </c>
      <c r="E45" s="1">
        <v>17.41</v>
      </c>
      <c r="F45" s="1">
        <v>1</v>
      </c>
      <c r="G45" s="1">
        <v>0</v>
      </c>
      <c r="H45" s="1">
        <v>2</v>
      </c>
      <c r="I45" s="1">
        <v>2</v>
      </c>
      <c r="J45" s="1" t="s">
        <v>27</v>
      </c>
      <c r="K45" s="1">
        <v>16.309999999999999</v>
      </c>
      <c r="L45" s="1" t="s">
        <v>16</v>
      </c>
      <c r="M45" s="1" t="s">
        <v>124</v>
      </c>
    </row>
    <row r="46" spans="1:13" x14ac:dyDescent="0.25">
      <c r="A46" s="1" t="s">
        <v>68</v>
      </c>
      <c r="B46" s="1">
        <v>52</v>
      </c>
      <c r="C46" s="1" t="s">
        <v>14</v>
      </c>
      <c r="D46" s="1">
        <v>107.31</v>
      </c>
      <c r="E46" s="1">
        <v>17.34</v>
      </c>
      <c r="F46" s="1">
        <v>1</v>
      </c>
      <c r="G46" s="1">
        <v>3</v>
      </c>
      <c r="H46" s="1">
        <v>0</v>
      </c>
      <c r="I46" s="1">
        <v>0.5</v>
      </c>
      <c r="J46" s="1" t="s">
        <v>31</v>
      </c>
      <c r="K46" s="1">
        <v>15.06</v>
      </c>
      <c r="L46" s="1" t="s">
        <v>16</v>
      </c>
      <c r="M46" s="1" t="s">
        <v>17</v>
      </c>
    </row>
    <row r="47" spans="1:13" x14ac:dyDescent="0.25">
      <c r="A47" s="1" t="s">
        <v>69</v>
      </c>
      <c r="B47" s="1">
        <v>34</v>
      </c>
      <c r="C47" s="1" t="s">
        <v>26</v>
      </c>
      <c r="D47" s="1">
        <v>99.12</v>
      </c>
      <c r="E47" s="1">
        <v>17.43</v>
      </c>
      <c r="F47" s="1">
        <v>3</v>
      </c>
      <c r="G47" s="1">
        <v>4</v>
      </c>
      <c r="H47" s="1">
        <v>3</v>
      </c>
      <c r="I47" s="1">
        <v>1.6</v>
      </c>
      <c r="J47" s="1" t="s">
        <v>15</v>
      </c>
      <c r="K47" s="1">
        <v>17.739999999999998</v>
      </c>
      <c r="L47" s="1" t="s">
        <v>16</v>
      </c>
      <c r="M47" s="1" t="s">
        <v>125</v>
      </c>
    </row>
    <row r="48" spans="1:13" x14ac:dyDescent="0.25">
      <c r="A48" s="1" t="s">
        <v>70</v>
      </c>
      <c r="B48" s="1">
        <v>27</v>
      </c>
      <c r="C48" s="1" t="s">
        <v>26</v>
      </c>
      <c r="D48" s="1">
        <v>93.16</v>
      </c>
      <c r="E48" s="1">
        <v>15.53</v>
      </c>
      <c r="F48" s="1">
        <v>2</v>
      </c>
      <c r="G48" s="1">
        <v>2</v>
      </c>
      <c r="H48" s="1">
        <v>0</v>
      </c>
      <c r="I48" s="1">
        <v>0.8</v>
      </c>
      <c r="J48" s="1" t="s">
        <v>19</v>
      </c>
      <c r="K48" s="1">
        <v>17.89</v>
      </c>
      <c r="L48" s="1" t="s">
        <v>16</v>
      </c>
      <c r="M48" s="1" t="s">
        <v>125</v>
      </c>
    </row>
    <row r="49" spans="1:13" x14ac:dyDescent="0.25">
      <c r="A49" s="1" t="s">
        <v>71</v>
      </c>
      <c r="B49" s="1">
        <v>55</v>
      </c>
      <c r="C49" s="1" t="s">
        <v>26</v>
      </c>
      <c r="D49" s="1">
        <v>111.49</v>
      </c>
      <c r="E49" s="1">
        <v>20.23</v>
      </c>
      <c r="F49" s="1">
        <v>1</v>
      </c>
      <c r="G49" s="1">
        <v>0</v>
      </c>
      <c r="H49" s="1">
        <v>1</v>
      </c>
      <c r="I49" s="1">
        <v>1.6</v>
      </c>
      <c r="J49" s="1" t="s">
        <v>31</v>
      </c>
      <c r="K49" s="1">
        <v>16.28</v>
      </c>
      <c r="L49" s="1" t="s">
        <v>16</v>
      </c>
      <c r="M49" s="1" t="s">
        <v>17</v>
      </c>
    </row>
    <row r="50" spans="1:13" x14ac:dyDescent="0.25">
      <c r="A50" s="1" t="s">
        <v>72</v>
      </c>
      <c r="B50" s="1">
        <v>42</v>
      </c>
      <c r="C50" s="1" t="s">
        <v>14</v>
      </c>
      <c r="D50" s="1">
        <v>108.71</v>
      </c>
      <c r="E50" s="1">
        <v>16.2</v>
      </c>
      <c r="F50" s="1">
        <v>2</v>
      </c>
      <c r="G50" s="1">
        <v>1</v>
      </c>
      <c r="H50" s="1">
        <v>3</v>
      </c>
      <c r="I50" s="1">
        <v>1.1000000000000001</v>
      </c>
      <c r="J50" s="1" t="s">
        <v>31</v>
      </c>
      <c r="K50" s="1">
        <v>13.71</v>
      </c>
      <c r="L50" s="1" t="s">
        <v>16</v>
      </c>
      <c r="M50" s="1" t="s">
        <v>124</v>
      </c>
    </row>
    <row r="51" spans="1:13" x14ac:dyDescent="0.25">
      <c r="A51" s="1" t="s">
        <v>73</v>
      </c>
      <c r="B51" s="1">
        <v>36</v>
      </c>
      <c r="C51" s="1" t="s">
        <v>14</v>
      </c>
      <c r="D51" s="1">
        <v>97.21</v>
      </c>
      <c r="E51" s="1">
        <v>13.41</v>
      </c>
      <c r="F51" s="1">
        <v>4</v>
      </c>
      <c r="G51" s="1">
        <v>3</v>
      </c>
      <c r="H51" s="1">
        <v>1</v>
      </c>
      <c r="I51" s="1">
        <v>0.9</v>
      </c>
      <c r="J51" s="1" t="s">
        <v>19</v>
      </c>
      <c r="K51" s="1">
        <v>14.19</v>
      </c>
      <c r="L51" s="1" t="s">
        <v>16</v>
      </c>
      <c r="M51" s="1" t="s">
        <v>125</v>
      </c>
    </row>
    <row r="52" spans="1:13" x14ac:dyDescent="0.25">
      <c r="A52" s="1" t="s">
        <v>74</v>
      </c>
      <c r="B52" s="1">
        <v>34</v>
      </c>
      <c r="C52" s="1" t="s">
        <v>14</v>
      </c>
      <c r="D52" s="1">
        <v>98.46</v>
      </c>
      <c r="E52" s="1">
        <v>15.38</v>
      </c>
      <c r="F52" s="1">
        <v>3</v>
      </c>
      <c r="G52" s="1">
        <v>2</v>
      </c>
      <c r="H52" s="1">
        <v>2</v>
      </c>
      <c r="I52" s="1">
        <v>1.2</v>
      </c>
      <c r="J52" s="1" t="s">
        <v>15</v>
      </c>
      <c r="K52" s="1">
        <v>15.86</v>
      </c>
      <c r="L52" s="1" t="s">
        <v>16</v>
      </c>
      <c r="M52" s="1" t="s">
        <v>125</v>
      </c>
    </row>
    <row r="53" spans="1:13" x14ac:dyDescent="0.25">
      <c r="A53" s="1" t="s">
        <v>75</v>
      </c>
      <c r="B53" s="1">
        <v>40</v>
      </c>
      <c r="C53" s="1" t="s">
        <v>14</v>
      </c>
      <c r="D53" s="1">
        <v>100.6</v>
      </c>
      <c r="E53" s="1">
        <v>17.309999999999999</v>
      </c>
      <c r="F53" s="1">
        <v>0</v>
      </c>
      <c r="G53" s="1">
        <v>3</v>
      </c>
      <c r="H53" s="1">
        <v>0</v>
      </c>
      <c r="I53" s="1">
        <v>0.6</v>
      </c>
      <c r="J53" s="1" t="s">
        <v>34</v>
      </c>
      <c r="K53" s="1">
        <v>17.100000000000001</v>
      </c>
      <c r="L53" s="1" t="s">
        <v>16</v>
      </c>
      <c r="M53" s="1" t="s">
        <v>124</v>
      </c>
    </row>
    <row r="54" spans="1:13" x14ac:dyDescent="0.25">
      <c r="A54" s="1" t="s">
        <v>76</v>
      </c>
      <c r="B54" s="1">
        <v>39</v>
      </c>
      <c r="C54" s="1" t="s">
        <v>14</v>
      </c>
      <c r="D54" s="1">
        <v>96.54</v>
      </c>
      <c r="E54" s="1">
        <v>18.239999999999998</v>
      </c>
      <c r="F54" s="1">
        <v>4</v>
      </c>
      <c r="G54" s="1">
        <v>3</v>
      </c>
      <c r="H54" s="1">
        <v>1</v>
      </c>
      <c r="I54" s="1">
        <v>1.9</v>
      </c>
      <c r="J54" s="1" t="s">
        <v>34</v>
      </c>
      <c r="K54" s="1">
        <v>19.57</v>
      </c>
      <c r="L54" s="1" t="s">
        <v>137</v>
      </c>
      <c r="M54" s="1" t="s">
        <v>124</v>
      </c>
    </row>
    <row r="55" spans="1:13" x14ac:dyDescent="0.25">
      <c r="A55" s="1" t="s">
        <v>77</v>
      </c>
      <c r="B55" s="1">
        <v>57</v>
      </c>
      <c r="C55" s="1" t="s">
        <v>26</v>
      </c>
      <c r="D55" s="1">
        <v>110.58</v>
      </c>
      <c r="E55" s="1">
        <v>21.99</v>
      </c>
      <c r="F55" s="1">
        <v>3</v>
      </c>
      <c r="G55" s="1">
        <v>0</v>
      </c>
      <c r="H55" s="1">
        <v>0</v>
      </c>
      <c r="I55" s="1">
        <v>0.9</v>
      </c>
      <c r="J55" s="1" t="s">
        <v>15</v>
      </c>
      <c r="K55" s="1">
        <v>17.98</v>
      </c>
      <c r="L55" s="1" t="s">
        <v>16</v>
      </c>
      <c r="M55" s="1" t="s">
        <v>17</v>
      </c>
    </row>
    <row r="56" spans="1:13" x14ac:dyDescent="0.25">
      <c r="A56" s="1" t="s">
        <v>78</v>
      </c>
      <c r="B56" s="1">
        <v>50</v>
      </c>
      <c r="C56" s="1" t="s">
        <v>14</v>
      </c>
      <c r="D56" s="1">
        <v>114.47</v>
      </c>
      <c r="E56" s="1">
        <v>18.010000000000002</v>
      </c>
      <c r="F56" s="1">
        <v>1</v>
      </c>
      <c r="G56" s="1">
        <v>3</v>
      </c>
      <c r="H56" s="1">
        <v>0</v>
      </c>
      <c r="I56" s="1">
        <v>0.6</v>
      </c>
      <c r="J56" s="1" t="s">
        <v>31</v>
      </c>
      <c r="K56" s="1">
        <v>13.74</v>
      </c>
      <c r="L56" s="1" t="s">
        <v>16</v>
      </c>
      <c r="M56" s="1" t="s">
        <v>17</v>
      </c>
    </row>
    <row r="57" spans="1:13" x14ac:dyDescent="0.25">
      <c r="A57" s="1" t="s">
        <v>79</v>
      </c>
      <c r="B57" s="1">
        <v>31</v>
      </c>
      <c r="C57" s="1" t="s">
        <v>14</v>
      </c>
      <c r="D57" s="1">
        <v>96.28</v>
      </c>
      <c r="E57" s="1">
        <v>16.84</v>
      </c>
      <c r="F57" s="1">
        <v>4</v>
      </c>
      <c r="G57" s="1">
        <v>2</v>
      </c>
      <c r="H57" s="1">
        <v>3</v>
      </c>
      <c r="I57" s="1">
        <v>0.5</v>
      </c>
      <c r="J57" s="1" t="s">
        <v>27</v>
      </c>
      <c r="K57" s="1">
        <v>18.170000000000002</v>
      </c>
      <c r="L57" s="1" t="s">
        <v>16</v>
      </c>
      <c r="M57" s="1" t="s">
        <v>125</v>
      </c>
    </row>
    <row r="58" spans="1:13" x14ac:dyDescent="0.25">
      <c r="A58" s="1" t="s">
        <v>80</v>
      </c>
      <c r="B58" s="1">
        <v>44</v>
      </c>
      <c r="C58" s="1" t="s">
        <v>14</v>
      </c>
      <c r="D58" s="1">
        <v>104.76</v>
      </c>
      <c r="E58" s="1">
        <v>18.399999999999999</v>
      </c>
      <c r="F58" s="1">
        <v>4</v>
      </c>
      <c r="G58" s="1">
        <v>2</v>
      </c>
      <c r="H58" s="1">
        <v>1</v>
      </c>
      <c r="I58" s="1">
        <v>0.7</v>
      </c>
      <c r="J58" s="1" t="s">
        <v>15</v>
      </c>
      <c r="K58" s="1">
        <v>16.77</v>
      </c>
      <c r="L58" s="1" t="s">
        <v>16</v>
      </c>
      <c r="M58" s="1" t="s">
        <v>124</v>
      </c>
    </row>
    <row r="59" spans="1:13" x14ac:dyDescent="0.25">
      <c r="A59" s="1" t="s">
        <v>81</v>
      </c>
      <c r="B59" s="1">
        <v>42</v>
      </c>
      <c r="C59" s="1" t="s">
        <v>26</v>
      </c>
      <c r="D59" s="1">
        <v>105.35</v>
      </c>
      <c r="E59" s="1">
        <v>19.88</v>
      </c>
      <c r="F59" s="1">
        <v>1</v>
      </c>
      <c r="G59" s="1">
        <v>2</v>
      </c>
      <c r="H59" s="1">
        <v>2</v>
      </c>
      <c r="I59" s="1">
        <v>2.8</v>
      </c>
      <c r="J59" s="1" t="s">
        <v>27</v>
      </c>
      <c r="K59" s="1">
        <v>17.91</v>
      </c>
      <c r="L59" s="1" t="s">
        <v>16</v>
      </c>
      <c r="M59" s="1" t="s">
        <v>124</v>
      </c>
    </row>
    <row r="60" spans="1:13" x14ac:dyDescent="0.25">
      <c r="A60" s="1" t="s">
        <v>82</v>
      </c>
      <c r="B60" s="1">
        <v>59</v>
      </c>
      <c r="C60" s="1" t="s">
        <v>26</v>
      </c>
      <c r="D60" s="1">
        <v>110.75</v>
      </c>
      <c r="E60" s="1">
        <v>24.56</v>
      </c>
      <c r="F60" s="1">
        <v>4</v>
      </c>
      <c r="G60" s="1">
        <v>4</v>
      </c>
      <c r="H60" s="1">
        <v>1</v>
      </c>
      <c r="I60" s="1">
        <v>1.7</v>
      </c>
      <c r="J60" s="1" t="s">
        <v>15</v>
      </c>
      <c r="K60" s="1">
        <v>20.02</v>
      </c>
      <c r="L60" s="1" t="s">
        <v>137</v>
      </c>
      <c r="M60" s="1" t="s">
        <v>17</v>
      </c>
    </row>
    <row r="61" spans="1:13" x14ac:dyDescent="0.25">
      <c r="A61" s="1" t="s">
        <v>83</v>
      </c>
      <c r="B61" s="1">
        <v>56</v>
      </c>
      <c r="C61" s="1" t="s">
        <v>26</v>
      </c>
      <c r="D61" s="1">
        <v>108</v>
      </c>
      <c r="E61" s="1">
        <v>22.24</v>
      </c>
      <c r="F61" s="1">
        <v>2</v>
      </c>
      <c r="G61" s="1">
        <v>4</v>
      </c>
      <c r="H61" s="1">
        <v>2</v>
      </c>
      <c r="I61" s="1">
        <v>1.1000000000000001</v>
      </c>
      <c r="J61" s="1" t="s">
        <v>19</v>
      </c>
      <c r="K61" s="1">
        <v>19.07</v>
      </c>
      <c r="L61" s="1" t="s">
        <v>137</v>
      </c>
      <c r="M61" s="1" t="s">
        <v>17</v>
      </c>
    </row>
    <row r="62" spans="1:13" x14ac:dyDescent="0.25">
      <c r="A62" s="1" t="s">
        <v>84</v>
      </c>
      <c r="B62" s="1">
        <v>32</v>
      </c>
      <c r="C62" s="1" t="s">
        <v>14</v>
      </c>
      <c r="D62" s="1">
        <v>98.63</v>
      </c>
      <c r="E62" s="1">
        <v>17.96</v>
      </c>
      <c r="F62" s="1">
        <v>0</v>
      </c>
      <c r="G62" s="1">
        <v>0</v>
      </c>
      <c r="H62" s="1">
        <v>2</v>
      </c>
      <c r="I62" s="1">
        <v>2.6</v>
      </c>
      <c r="J62" s="1" t="s">
        <v>31</v>
      </c>
      <c r="K62" s="1">
        <v>18.46</v>
      </c>
      <c r="L62" s="1" t="s">
        <v>16</v>
      </c>
      <c r="M62" s="1" t="s">
        <v>125</v>
      </c>
    </row>
    <row r="63" spans="1:13" x14ac:dyDescent="0.25">
      <c r="A63" s="1" t="s">
        <v>85</v>
      </c>
      <c r="B63" s="1">
        <v>47</v>
      </c>
      <c r="C63" s="1" t="s">
        <v>14</v>
      </c>
      <c r="D63" s="1">
        <v>103.57</v>
      </c>
      <c r="E63" s="1">
        <v>22.13</v>
      </c>
      <c r="F63" s="1">
        <v>3</v>
      </c>
      <c r="G63" s="1">
        <v>2</v>
      </c>
      <c r="H63" s="1">
        <v>0</v>
      </c>
      <c r="I63" s="1">
        <v>0.6</v>
      </c>
      <c r="J63" s="1" t="s">
        <v>15</v>
      </c>
      <c r="K63" s="1">
        <v>20.63</v>
      </c>
      <c r="L63" s="1" t="s">
        <v>137</v>
      </c>
      <c r="M63" s="1" t="s">
        <v>124</v>
      </c>
    </row>
    <row r="64" spans="1:13" x14ac:dyDescent="0.25">
      <c r="A64" s="1" t="s">
        <v>86</v>
      </c>
      <c r="B64" s="1">
        <v>28</v>
      </c>
      <c r="C64" s="1" t="s">
        <v>26</v>
      </c>
      <c r="D64" s="1">
        <v>92.72</v>
      </c>
      <c r="E64" s="1">
        <v>15.7</v>
      </c>
      <c r="F64" s="1">
        <v>4</v>
      </c>
      <c r="G64" s="1">
        <v>0</v>
      </c>
      <c r="H64" s="1">
        <v>1</v>
      </c>
      <c r="I64" s="1">
        <v>0.5</v>
      </c>
      <c r="J64" s="1" t="s">
        <v>31</v>
      </c>
      <c r="K64" s="1">
        <v>18.260000000000002</v>
      </c>
      <c r="L64" s="1" t="s">
        <v>16</v>
      </c>
      <c r="M64" s="1" t="s">
        <v>125</v>
      </c>
    </row>
    <row r="65" spans="1:13" x14ac:dyDescent="0.25">
      <c r="A65" s="1" t="s">
        <v>87</v>
      </c>
      <c r="B65" s="1">
        <v>56</v>
      </c>
      <c r="C65" s="1" t="s">
        <v>26</v>
      </c>
      <c r="D65" s="1">
        <v>113.3</v>
      </c>
      <c r="E65" s="1">
        <v>20.45</v>
      </c>
      <c r="F65" s="1">
        <v>2</v>
      </c>
      <c r="G65" s="1">
        <v>2</v>
      </c>
      <c r="H65" s="1">
        <v>2</v>
      </c>
      <c r="I65" s="1">
        <v>0.5</v>
      </c>
      <c r="J65" s="1" t="s">
        <v>34</v>
      </c>
      <c r="K65" s="1">
        <v>15.93</v>
      </c>
      <c r="L65" s="1" t="s">
        <v>16</v>
      </c>
      <c r="M65" s="1" t="s">
        <v>17</v>
      </c>
    </row>
    <row r="66" spans="1:13" x14ac:dyDescent="0.25">
      <c r="A66" s="1" t="s">
        <v>88</v>
      </c>
      <c r="B66" s="1">
        <v>38</v>
      </c>
      <c r="C66" s="1" t="s">
        <v>26</v>
      </c>
      <c r="D66" s="1">
        <v>104.84</v>
      </c>
      <c r="E66" s="1">
        <v>19.829999999999998</v>
      </c>
      <c r="F66" s="1">
        <v>4</v>
      </c>
      <c r="G66" s="1">
        <v>0</v>
      </c>
      <c r="H66" s="1">
        <v>0</v>
      </c>
      <c r="I66" s="1">
        <v>0.8</v>
      </c>
      <c r="J66" s="1" t="s">
        <v>31</v>
      </c>
      <c r="K66" s="1">
        <v>18.04</v>
      </c>
      <c r="L66" s="1" t="s">
        <v>16</v>
      </c>
      <c r="M66" s="1" t="s">
        <v>124</v>
      </c>
    </row>
    <row r="67" spans="1:13" x14ac:dyDescent="0.25">
      <c r="A67" s="1" t="s">
        <v>89</v>
      </c>
      <c r="B67" s="1">
        <v>50</v>
      </c>
      <c r="C67" s="1" t="s">
        <v>14</v>
      </c>
      <c r="D67" s="1">
        <v>104.56</v>
      </c>
      <c r="E67" s="1">
        <v>21.62</v>
      </c>
      <c r="F67" s="1">
        <v>4</v>
      </c>
      <c r="G67" s="1">
        <v>1</v>
      </c>
      <c r="H67" s="1">
        <v>1</v>
      </c>
      <c r="I67" s="1">
        <v>2</v>
      </c>
      <c r="J67" s="1" t="s">
        <v>15</v>
      </c>
      <c r="K67" s="1">
        <v>19.78</v>
      </c>
      <c r="L67" s="1" t="s">
        <v>137</v>
      </c>
      <c r="M67" s="1" t="s">
        <v>17</v>
      </c>
    </row>
    <row r="68" spans="1:13" x14ac:dyDescent="0.25">
      <c r="A68" s="1" t="s">
        <v>90</v>
      </c>
      <c r="B68" s="1">
        <v>27</v>
      </c>
      <c r="C68" s="1" t="s">
        <v>26</v>
      </c>
      <c r="D68" s="1">
        <v>97.32</v>
      </c>
      <c r="E68" s="1">
        <v>16.28</v>
      </c>
      <c r="F68" s="1">
        <v>2</v>
      </c>
      <c r="G68" s="1">
        <v>4</v>
      </c>
      <c r="H68" s="1">
        <v>0</v>
      </c>
      <c r="I68" s="1">
        <v>0.8</v>
      </c>
      <c r="J68" s="1" t="s">
        <v>15</v>
      </c>
      <c r="K68" s="1">
        <v>17.190000000000001</v>
      </c>
      <c r="L68" s="1" t="s">
        <v>16</v>
      </c>
      <c r="M68" s="1" t="s">
        <v>125</v>
      </c>
    </row>
    <row r="69" spans="1:13" x14ac:dyDescent="0.25">
      <c r="A69" s="1" t="s">
        <v>91</v>
      </c>
      <c r="B69" s="1">
        <v>32</v>
      </c>
      <c r="C69" s="1" t="s">
        <v>14</v>
      </c>
      <c r="D69" s="1">
        <v>103.58</v>
      </c>
      <c r="E69" s="1">
        <v>15.12</v>
      </c>
      <c r="F69" s="1">
        <v>4</v>
      </c>
      <c r="G69" s="1">
        <v>0</v>
      </c>
      <c r="H69" s="1">
        <v>2</v>
      </c>
      <c r="I69" s="1">
        <v>1.8</v>
      </c>
      <c r="J69" s="1" t="s">
        <v>27</v>
      </c>
      <c r="K69" s="1">
        <v>14.09</v>
      </c>
      <c r="L69" s="1" t="s">
        <v>16</v>
      </c>
      <c r="M69" s="1" t="s">
        <v>125</v>
      </c>
    </row>
    <row r="70" spans="1:13" x14ac:dyDescent="0.25">
      <c r="A70" s="1" t="s">
        <v>92</v>
      </c>
      <c r="B70" s="1">
        <v>53</v>
      </c>
      <c r="C70" s="1" t="s">
        <v>26</v>
      </c>
      <c r="D70" s="1">
        <v>105.92</v>
      </c>
      <c r="E70" s="1">
        <v>22.98</v>
      </c>
      <c r="F70" s="1">
        <v>2</v>
      </c>
      <c r="G70" s="1">
        <v>0</v>
      </c>
      <c r="H70" s="1">
        <v>0</v>
      </c>
      <c r="I70" s="1">
        <v>0.8</v>
      </c>
      <c r="J70" s="1" t="s">
        <v>34</v>
      </c>
      <c r="K70" s="1">
        <v>20.48</v>
      </c>
      <c r="L70" s="1" t="s">
        <v>137</v>
      </c>
      <c r="M70" s="1" t="s">
        <v>17</v>
      </c>
    </row>
    <row r="71" spans="1:13" x14ac:dyDescent="0.25">
      <c r="A71" s="1" t="s">
        <v>93</v>
      </c>
      <c r="B71" s="1">
        <v>33</v>
      </c>
      <c r="C71" s="1" t="s">
        <v>26</v>
      </c>
      <c r="D71" s="1">
        <v>104.76</v>
      </c>
      <c r="E71" s="1">
        <v>13.89</v>
      </c>
      <c r="F71" s="1">
        <v>3</v>
      </c>
      <c r="G71" s="1">
        <v>4</v>
      </c>
      <c r="H71" s="1">
        <v>0</v>
      </c>
      <c r="I71" s="1">
        <v>0.5</v>
      </c>
      <c r="J71" s="1" t="s">
        <v>27</v>
      </c>
      <c r="K71" s="1">
        <v>12.66</v>
      </c>
      <c r="L71" s="1" t="s">
        <v>16</v>
      </c>
      <c r="M71" s="1" t="s">
        <v>125</v>
      </c>
    </row>
    <row r="72" spans="1:13" x14ac:dyDescent="0.25">
      <c r="A72" s="1" t="s">
        <v>94</v>
      </c>
      <c r="B72" s="1">
        <v>49</v>
      </c>
      <c r="C72" s="1" t="s">
        <v>26</v>
      </c>
      <c r="D72" s="1">
        <v>108.22</v>
      </c>
      <c r="E72" s="1">
        <v>19.55</v>
      </c>
      <c r="F72" s="1">
        <v>1</v>
      </c>
      <c r="G72" s="1">
        <v>1</v>
      </c>
      <c r="H72" s="1">
        <v>2</v>
      </c>
      <c r="I72" s="1">
        <v>1.6</v>
      </c>
      <c r="J72" s="1" t="s">
        <v>27</v>
      </c>
      <c r="K72" s="1">
        <v>16.690000000000001</v>
      </c>
      <c r="L72" s="1" t="s">
        <v>16</v>
      </c>
      <c r="M72" s="1" t="s">
        <v>17</v>
      </c>
    </row>
    <row r="73" spans="1:13" x14ac:dyDescent="0.25">
      <c r="A73" s="1" t="s">
        <v>95</v>
      </c>
      <c r="B73" s="1">
        <v>32</v>
      </c>
      <c r="C73" s="1" t="s">
        <v>14</v>
      </c>
      <c r="D73" s="1">
        <v>97.69</v>
      </c>
      <c r="E73" s="1">
        <v>18.04</v>
      </c>
      <c r="F73" s="1">
        <v>3</v>
      </c>
      <c r="G73" s="1">
        <v>2</v>
      </c>
      <c r="H73" s="1">
        <v>2</v>
      </c>
      <c r="I73" s="1">
        <v>2.2000000000000002</v>
      </c>
      <c r="J73" s="1" t="s">
        <v>15</v>
      </c>
      <c r="K73" s="1">
        <v>18.899999999999999</v>
      </c>
      <c r="L73" s="1" t="s">
        <v>137</v>
      </c>
      <c r="M73" s="1" t="s">
        <v>125</v>
      </c>
    </row>
    <row r="74" spans="1:13" x14ac:dyDescent="0.25">
      <c r="A74" s="1" t="s">
        <v>96</v>
      </c>
      <c r="B74" s="1">
        <v>52</v>
      </c>
      <c r="C74" s="1" t="s">
        <v>14</v>
      </c>
      <c r="D74" s="1">
        <v>104.99</v>
      </c>
      <c r="E74" s="1">
        <v>22.77</v>
      </c>
      <c r="F74" s="1">
        <v>3</v>
      </c>
      <c r="G74" s="1">
        <v>2</v>
      </c>
      <c r="H74" s="1">
        <v>1</v>
      </c>
      <c r="I74" s="1">
        <v>1.1000000000000001</v>
      </c>
      <c r="J74" s="1" t="s">
        <v>19</v>
      </c>
      <c r="K74" s="1">
        <v>20.66</v>
      </c>
      <c r="L74" s="1" t="s">
        <v>137</v>
      </c>
      <c r="M74" s="1" t="s">
        <v>17</v>
      </c>
    </row>
    <row r="75" spans="1:13" x14ac:dyDescent="0.25">
      <c r="A75" s="1" t="s">
        <v>97</v>
      </c>
      <c r="B75" s="1">
        <v>25</v>
      </c>
      <c r="C75" s="1" t="s">
        <v>26</v>
      </c>
      <c r="D75" s="1">
        <v>88.93</v>
      </c>
      <c r="E75" s="1">
        <v>15.5</v>
      </c>
      <c r="F75" s="1">
        <v>3</v>
      </c>
      <c r="G75" s="1">
        <v>0</v>
      </c>
      <c r="H75" s="1">
        <v>3</v>
      </c>
      <c r="I75" s="1">
        <v>3.8</v>
      </c>
      <c r="J75" s="1" t="s">
        <v>19</v>
      </c>
      <c r="K75" s="1">
        <v>19.600000000000001</v>
      </c>
      <c r="L75" s="1" t="s">
        <v>137</v>
      </c>
      <c r="M75" s="1" t="s">
        <v>125</v>
      </c>
    </row>
    <row r="76" spans="1:13" x14ac:dyDescent="0.25">
      <c r="A76" s="1" t="s">
        <v>98</v>
      </c>
      <c r="B76" s="1">
        <v>41</v>
      </c>
      <c r="C76" s="1" t="s">
        <v>14</v>
      </c>
      <c r="D76" s="1">
        <v>105.5</v>
      </c>
      <c r="E76" s="1">
        <v>20.18</v>
      </c>
      <c r="F76" s="1">
        <v>1</v>
      </c>
      <c r="G76" s="1">
        <v>4</v>
      </c>
      <c r="H76" s="1">
        <v>3</v>
      </c>
      <c r="I76" s="1">
        <v>1.9</v>
      </c>
      <c r="J76" s="1" t="s">
        <v>31</v>
      </c>
      <c r="K76" s="1">
        <v>18.13</v>
      </c>
      <c r="L76" s="1" t="s">
        <v>16</v>
      </c>
      <c r="M76" s="1" t="s">
        <v>124</v>
      </c>
    </row>
    <row r="77" spans="1:13" x14ac:dyDescent="0.25">
      <c r="A77" s="1" t="s">
        <v>99</v>
      </c>
      <c r="B77" s="1">
        <v>38</v>
      </c>
      <c r="C77" s="1" t="s">
        <v>26</v>
      </c>
      <c r="D77" s="1">
        <v>101.47</v>
      </c>
      <c r="E77" s="1">
        <v>15.96</v>
      </c>
      <c r="F77" s="1">
        <v>1</v>
      </c>
      <c r="G77" s="1">
        <v>1</v>
      </c>
      <c r="H77" s="1">
        <v>0</v>
      </c>
      <c r="I77" s="1">
        <v>0.8</v>
      </c>
      <c r="J77" s="1" t="s">
        <v>15</v>
      </c>
      <c r="K77" s="1">
        <v>15.5</v>
      </c>
      <c r="L77" s="1" t="s">
        <v>16</v>
      </c>
      <c r="M77" s="1" t="s">
        <v>124</v>
      </c>
    </row>
    <row r="78" spans="1:13" x14ac:dyDescent="0.25">
      <c r="A78" s="1" t="s">
        <v>100</v>
      </c>
      <c r="B78" s="1">
        <v>46</v>
      </c>
      <c r="C78" s="1" t="s">
        <v>26</v>
      </c>
      <c r="D78" s="1">
        <v>103.84</v>
      </c>
      <c r="E78" s="1">
        <v>17.13</v>
      </c>
      <c r="F78" s="1">
        <v>0</v>
      </c>
      <c r="G78" s="1">
        <v>4</v>
      </c>
      <c r="H78" s="1">
        <v>1</v>
      </c>
      <c r="I78" s="1">
        <v>0.7</v>
      </c>
      <c r="J78" s="1" t="s">
        <v>27</v>
      </c>
      <c r="K78" s="1">
        <v>15.89</v>
      </c>
      <c r="L78" s="1" t="s">
        <v>16</v>
      </c>
      <c r="M78" s="1" t="s">
        <v>124</v>
      </c>
    </row>
    <row r="79" spans="1:13" x14ac:dyDescent="0.25">
      <c r="A79" s="1" t="s">
        <v>101</v>
      </c>
      <c r="B79" s="1">
        <v>45</v>
      </c>
      <c r="C79" s="1" t="s">
        <v>26</v>
      </c>
      <c r="D79" s="1">
        <v>103.74</v>
      </c>
      <c r="E79" s="1">
        <v>18.21</v>
      </c>
      <c r="F79" s="1">
        <v>1</v>
      </c>
      <c r="G79" s="1">
        <v>3</v>
      </c>
      <c r="H79" s="1">
        <v>0</v>
      </c>
      <c r="I79" s="1">
        <v>0.5</v>
      </c>
      <c r="J79" s="1" t="s">
        <v>27</v>
      </c>
      <c r="K79" s="1">
        <v>16.920000000000002</v>
      </c>
      <c r="L79" s="1" t="s">
        <v>16</v>
      </c>
      <c r="M79" s="1" t="s">
        <v>124</v>
      </c>
    </row>
    <row r="80" spans="1:13" x14ac:dyDescent="0.25">
      <c r="A80" s="1" t="s">
        <v>102</v>
      </c>
      <c r="B80" s="1">
        <v>48</v>
      </c>
      <c r="C80" s="1" t="s">
        <v>26</v>
      </c>
      <c r="D80" s="1">
        <v>101.32</v>
      </c>
      <c r="E80" s="1">
        <v>21.93</v>
      </c>
      <c r="F80" s="1">
        <v>4</v>
      </c>
      <c r="G80" s="1">
        <v>2</v>
      </c>
      <c r="H80" s="1">
        <v>2</v>
      </c>
      <c r="I80" s="1">
        <v>2.8</v>
      </c>
      <c r="J80" s="1" t="s">
        <v>19</v>
      </c>
      <c r="K80" s="1">
        <v>21.36</v>
      </c>
      <c r="L80" s="1" t="s">
        <v>137</v>
      </c>
      <c r="M80" s="1" t="s">
        <v>124</v>
      </c>
    </row>
    <row r="81" spans="1:13" x14ac:dyDescent="0.25">
      <c r="A81" s="1" t="s">
        <v>103</v>
      </c>
      <c r="B81" s="1">
        <v>54</v>
      </c>
      <c r="C81" s="1" t="s">
        <v>14</v>
      </c>
      <c r="D81" s="1">
        <v>109.83</v>
      </c>
      <c r="E81" s="1">
        <v>21.35</v>
      </c>
      <c r="F81" s="1">
        <v>3</v>
      </c>
      <c r="G81" s="1">
        <v>2</v>
      </c>
      <c r="H81" s="1">
        <v>1</v>
      </c>
      <c r="I81" s="1">
        <v>0.7</v>
      </c>
      <c r="J81" s="1" t="s">
        <v>31</v>
      </c>
      <c r="K81" s="1">
        <v>17.7</v>
      </c>
      <c r="L81" s="1" t="s">
        <v>16</v>
      </c>
      <c r="M81" s="1" t="s">
        <v>17</v>
      </c>
    </row>
    <row r="82" spans="1:13" x14ac:dyDescent="0.25">
      <c r="A82" s="1" t="s">
        <v>104</v>
      </c>
      <c r="B82" s="1">
        <v>49</v>
      </c>
      <c r="C82" s="1" t="s">
        <v>26</v>
      </c>
      <c r="D82" s="1">
        <v>112.98</v>
      </c>
      <c r="E82" s="1">
        <v>18.22</v>
      </c>
      <c r="F82" s="1">
        <v>3</v>
      </c>
      <c r="G82" s="1">
        <v>1</v>
      </c>
      <c r="H82" s="1">
        <v>1</v>
      </c>
      <c r="I82" s="1">
        <v>1.7</v>
      </c>
      <c r="J82" s="1" t="s">
        <v>15</v>
      </c>
      <c r="K82" s="1">
        <v>14.27</v>
      </c>
      <c r="L82" s="1" t="s">
        <v>16</v>
      </c>
      <c r="M82" s="1" t="s">
        <v>17</v>
      </c>
    </row>
    <row r="83" spans="1:13" x14ac:dyDescent="0.25">
      <c r="A83" s="1" t="s">
        <v>105</v>
      </c>
      <c r="B83" s="1">
        <v>45</v>
      </c>
      <c r="C83" s="1" t="s">
        <v>14</v>
      </c>
      <c r="D83" s="1">
        <v>104.87</v>
      </c>
      <c r="E83" s="1">
        <v>19.66</v>
      </c>
      <c r="F83" s="1">
        <v>1</v>
      </c>
      <c r="G83" s="1">
        <v>4</v>
      </c>
      <c r="H83" s="1">
        <v>2</v>
      </c>
      <c r="I83" s="1">
        <v>1.1000000000000001</v>
      </c>
      <c r="J83" s="1" t="s">
        <v>34</v>
      </c>
      <c r="K83" s="1">
        <v>17.88</v>
      </c>
      <c r="L83" s="1" t="s">
        <v>16</v>
      </c>
      <c r="M83" s="1" t="s">
        <v>124</v>
      </c>
    </row>
    <row r="84" spans="1:13" x14ac:dyDescent="0.25">
      <c r="A84" s="1" t="s">
        <v>106</v>
      </c>
      <c r="B84" s="1">
        <v>30</v>
      </c>
      <c r="C84" s="1" t="s">
        <v>26</v>
      </c>
      <c r="D84" s="1">
        <v>100.81</v>
      </c>
      <c r="E84" s="1">
        <v>14.39</v>
      </c>
      <c r="F84" s="1">
        <v>2</v>
      </c>
      <c r="G84" s="1">
        <v>4</v>
      </c>
      <c r="H84" s="1">
        <v>2</v>
      </c>
      <c r="I84" s="1">
        <v>2.6</v>
      </c>
      <c r="J84" s="1" t="s">
        <v>15</v>
      </c>
      <c r="K84" s="1">
        <v>14.16</v>
      </c>
      <c r="L84" s="1" t="s">
        <v>16</v>
      </c>
      <c r="M84" s="1" t="s">
        <v>125</v>
      </c>
    </row>
    <row r="85" spans="1:13" x14ac:dyDescent="0.25">
      <c r="A85" s="1" t="s">
        <v>107</v>
      </c>
      <c r="B85" s="1">
        <v>29</v>
      </c>
      <c r="C85" s="1" t="s">
        <v>14</v>
      </c>
      <c r="D85" s="1">
        <v>101.16</v>
      </c>
      <c r="E85" s="1">
        <v>14.14</v>
      </c>
      <c r="F85" s="1">
        <v>2</v>
      </c>
      <c r="G85" s="1">
        <v>2</v>
      </c>
      <c r="H85" s="1">
        <v>3</v>
      </c>
      <c r="I85" s="1">
        <v>1.3</v>
      </c>
      <c r="J85" s="1" t="s">
        <v>15</v>
      </c>
      <c r="K85" s="1">
        <v>13.82</v>
      </c>
      <c r="L85" s="1" t="s">
        <v>16</v>
      </c>
      <c r="M85" s="1" t="s">
        <v>125</v>
      </c>
    </row>
    <row r="86" spans="1:13" x14ac:dyDescent="0.25">
      <c r="A86" s="1" t="s">
        <v>108</v>
      </c>
      <c r="B86" s="1">
        <v>57</v>
      </c>
      <c r="C86" s="1" t="s">
        <v>14</v>
      </c>
      <c r="D86" s="1">
        <v>115.19</v>
      </c>
      <c r="E86" s="1">
        <v>20.76</v>
      </c>
      <c r="F86" s="1">
        <v>1</v>
      </c>
      <c r="G86" s="1">
        <v>4</v>
      </c>
      <c r="H86" s="1">
        <v>0</v>
      </c>
      <c r="I86" s="1">
        <v>1</v>
      </c>
      <c r="J86" s="1" t="s">
        <v>15</v>
      </c>
      <c r="K86" s="1">
        <v>15.65</v>
      </c>
      <c r="L86" s="1" t="s">
        <v>16</v>
      </c>
      <c r="M86" s="1" t="s">
        <v>17</v>
      </c>
    </row>
    <row r="87" spans="1:13" x14ac:dyDescent="0.25">
      <c r="A87" s="1" t="s">
        <v>109</v>
      </c>
      <c r="B87" s="1">
        <v>56</v>
      </c>
      <c r="C87" s="1" t="s">
        <v>26</v>
      </c>
      <c r="D87" s="1">
        <v>110.72</v>
      </c>
      <c r="E87" s="1">
        <v>20.149999999999999</v>
      </c>
      <c r="F87" s="1">
        <v>0</v>
      </c>
      <c r="G87" s="1">
        <v>1</v>
      </c>
      <c r="H87" s="1">
        <v>1</v>
      </c>
      <c r="I87" s="1">
        <v>2</v>
      </c>
      <c r="J87" s="1" t="s">
        <v>34</v>
      </c>
      <c r="K87" s="1">
        <v>16.440000000000001</v>
      </c>
      <c r="L87" s="1" t="s">
        <v>16</v>
      </c>
      <c r="M87" s="1" t="s">
        <v>17</v>
      </c>
    </row>
    <row r="88" spans="1:13" x14ac:dyDescent="0.25">
      <c r="A88" s="1" t="s">
        <v>110</v>
      </c>
      <c r="B88" s="1">
        <v>56</v>
      </c>
      <c r="C88" s="1" t="s">
        <v>14</v>
      </c>
      <c r="D88" s="1">
        <v>106.73</v>
      </c>
      <c r="E88" s="1">
        <v>24.09</v>
      </c>
      <c r="F88" s="1">
        <v>0</v>
      </c>
      <c r="G88" s="1">
        <v>1</v>
      </c>
      <c r="H88" s="1">
        <v>3</v>
      </c>
      <c r="I88" s="1">
        <v>1.7</v>
      </c>
      <c r="J88" s="1" t="s">
        <v>34</v>
      </c>
      <c r="K88" s="1">
        <v>21.15</v>
      </c>
      <c r="L88" s="1" t="s">
        <v>137</v>
      </c>
      <c r="M88" s="1" t="s">
        <v>17</v>
      </c>
    </row>
    <row r="89" spans="1:13" x14ac:dyDescent="0.25">
      <c r="A89" s="1" t="s">
        <v>111</v>
      </c>
      <c r="B89" s="1">
        <v>25</v>
      </c>
      <c r="C89" s="1" t="s">
        <v>14</v>
      </c>
      <c r="D89" s="1">
        <v>99.72</v>
      </c>
      <c r="E89" s="1">
        <v>14.9</v>
      </c>
      <c r="F89" s="1">
        <v>4</v>
      </c>
      <c r="G89" s="1">
        <v>2</v>
      </c>
      <c r="H89" s="1">
        <v>3</v>
      </c>
      <c r="I89" s="1">
        <v>2.2000000000000002</v>
      </c>
      <c r="J89" s="1" t="s">
        <v>19</v>
      </c>
      <c r="K89" s="1">
        <v>14.98</v>
      </c>
      <c r="L89" s="1" t="s">
        <v>16</v>
      </c>
      <c r="M89" s="1" t="s">
        <v>125</v>
      </c>
    </row>
    <row r="90" spans="1:13" x14ac:dyDescent="0.25">
      <c r="A90" s="1" t="s">
        <v>112</v>
      </c>
      <c r="B90" s="1">
        <v>30</v>
      </c>
      <c r="C90" s="1" t="s">
        <v>14</v>
      </c>
      <c r="D90" s="1">
        <v>96.45</v>
      </c>
      <c r="E90" s="1">
        <v>14.77</v>
      </c>
      <c r="F90" s="1">
        <v>4</v>
      </c>
      <c r="G90" s="1">
        <v>2</v>
      </c>
      <c r="H90" s="1">
        <v>0</v>
      </c>
      <c r="I90" s="1">
        <v>0.6</v>
      </c>
      <c r="J90" s="1" t="s">
        <v>31</v>
      </c>
      <c r="K90" s="1">
        <v>15.88</v>
      </c>
      <c r="L90" s="1" t="s">
        <v>16</v>
      </c>
      <c r="M90" s="1" t="s">
        <v>125</v>
      </c>
    </row>
    <row r="91" spans="1:13" x14ac:dyDescent="0.25">
      <c r="A91" s="1" t="s">
        <v>113</v>
      </c>
      <c r="B91" s="1">
        <v>53</v>
      </c>
      <c r="C91" s="1" t="s">
        <v>26</v>
      </c>
      <c r="D91" s="1">
        <v>106.44</v>
      </c>
      <c r="E91" s="1">
        <v>20.73</v>
      </c>
      <c r="F91" s="1">
        <v>4</v>
      </c>
      <c r="G91" s="1">
        <v>3</v>
      </c>
      <c r="H91" s="1">
        <v>2</v>
      </c>
      <c r="I91" s="1">
        <v>2</v>
      </c>
      <c r="J91" s="1" t="s">
        <v>15</v>
      </c>
      <c r="K91" s="1">
        <v>18.3</v>
      </c>
      <c r="L91" s="1" t="s">
        <v>16</v>
      </c>
      <c r="M91" s="1" t="s">
        <v>17</v>
      </c>
    </row>
    <row r="92" spans="1:13" x14ac:dyDescent="0.25">
      <c r="A92" s="1" t="s">
        <v>114</v>
      </c>
      <c r="B92" s="1">
        <v>29</v>
      </c>
      <c r="C92" s="1" t="s">
        <v>14</v>
      </c>
      <c r="D92" s="1">
        <v>97.77</v>
      </c>
      <c r="E92" s="1">
        <v>15.72</v>
      </c>
      <c r="F92" s="1">
        <v>2</v>
      </c>
      <c r="G92" s="1">
        <v>0</v>
      </c>
      <c r="H92" s="1">
        <v>0</v>
      </c>
      <c r="I92" s="1">
        <v>0.9</v>
      </c>
      <c r="J92" s="1" t="s">
        <v>15</v>
      </c>
      <c r="K92" s="1">
        <v>16.45</v>
      </c>
      <c r="L92" s="1" t="s">
        <v>16</v>
      </c>
      <c r="M92" s="1" t="s">
        <v>125</v>
      </c>
    </row>
    <row r="93" spans="1:13" x14ac:dyDescent="0.25">
      <c r="A93" s="1" t="s">
        <v>115</v>
      </c>
      <c r="B93" s="1">
        <v>58</v>
      </c>
      <c r="C93" s="1" t="s">
        <v>26</v>
      </c>
      <c r="D93" s="1">
        <v>113.49</v>
      </c>
      <c r="E93" s="1">
        <v>25.26</v>
      </c>
      <c r="F93" s="1">
        <v>0</v>
      </c>
      <c r="G93" s="1">
        <v>4</v>
      </c>
      <c r="H93" s="1">
        <v>3</v>
      </c>
      <c r="I93" s="1">
        <v>3</v>
      </c>
      <c r="J93" s="1" t="s">
        <v>34</v>
      </c>
      <c r="K93" s="1">
        <v>19.61</v>
      </c>
      <c r="L93" s="1" t="s">
        <v>137</v>
      </c>
      <c r="M93" s="1" t="s">
        <v>17</v>
      </c>
    </row>
    <row r="94" spans="1:13" x14ac:dyDescent="0.25">
      <c r="A94" s="1" t="s">
        <v>116</v>
      </c>
      <c r="B94" s="1">
        <v>26</v>
      </c>
      <c r="C94" s="1" t="s">
        <v>26</v>
      </c>
      <c r="D94" s="1">
        <v>92.08</v>
      </c>
      <c r="E94" s="1">
        <v>15.29</v>
      </c>
      <c r="F94" s="1">
        <v>4</v>
      </c>
      <c r="G94" s="1">
        <v>1</v>
      </c>
      <c r="H94" s="1">
        <v>2</v>
      </c>
      <c r="I94" s="1">
        <v>2.6</v>
      </c>
      <c r="J94" s="1" t="s">
        <v>27</v>
      </c>
      <c r="K94" s="1">
        <v>18.03</v>
      </c>
      <c r="L94" s="1" t="s">
        <v>16</v>
      </c>
      <c r="M94" s="1" t="s">
        <v>125</v>
      </c>
    </row>
    <row r="95" spans="1:13" x14ac:dyDescent="0.25">
      <c r="A95" s="1" t="s">
        <v>117</v>
      </c>
      <c r="B95" s="1">
        <v>25</v>
      </c>
      <c r="C95" s="1" t="s">
        <v>14</v>
      </c>
      <c r="D95" s="1">
        <v>96.42</v>
      </c>
      <c r="E95" s="1">
        <v>15.34</v>
      </c>
      <c r="F95" s="1">
        <v>4</v>
      </c>
      <c r="G95" s="1">
        <v>3</v>
      </c>
      <c r="H95" s="1">
        <v>2</v>
      </c>
      <c r="I95" s="1">
        <v>0.9</v>
      </c>
      <c r="J95" s="1" t="s">
        <v>27</v>
      </c>
      <c r="K95" s="1">
        <v>16.5</v>
      </c>
      <c r="L95" s="1" t="s">
        <v>16</v>
      </c>
      <c r="M95" s="1" t="s">
        <v>125</v>
      </c>
    </row>
    <row r="96" spans="1:13" x14ac:dyDescent="0.25">
      <c r="A96" s="1" t="s">
        <v>118</v>
      </c>
      <c r="B96" s="1">
        <v>59</v>
      </c>
      <c r="C96" s="1" t="s">
        <v>14</v>
      </c>
      <c r="D96" s="1">
        <v>108.1</v>
      </c>
      <c r="E96" s="1">
        <v>19.25</v>
      </c>
      <c r="F96" s="1">
        <v>1</v>
      </c>
      <c r="G96" s="1">
        <v>0</v>
      </c>
      <c r="H96" s="1">
        <v>1</v>
      </c>
      <c r="I96" s="1">
        <v>1</v>
      </c>
      <c r="J96" s="1" t="s">
        <v>15</v>
      </c>
      <c r="K96" s="1">
        <v>16.47</v>
      </c>
      <c r="L96" s="1" t="s">
        <v>16</v>
      </c>
      <c r="M96" s="1" t="s">
        <v>17</v>
      </c>
    </row>
    <row r="97" spans="1:13" x14ac:dyDescent="0.25">
      <c r="A97" s="1" t="s">
        <v>119</v>
      </c>
      <c r="B97" s="1">
        <v>50</v>
      </c>
      <c r="C97" s="1" t="s">
        <v>14</v>
      </c>
      <c r="D97" s="1">
        <v>109.15</v>
      </c>
      <c r="E97" s="1">
        <v>22.09</v>
      </c>
      <c r="F97" s="1">
        <v>1</v>
      </c>
      <c r="G97" s="1">
        <v>4</v>
      </c>
      <c r="H97" s="1">
        <v>0</v>
      </c>
      <c r="I97" s="1">
        <v>0.6</v>
      </c>
      <c r="J97" s="1" t="s">
        <v>19</v>
      </c>
      <c r="K97" s="1">
        <v>18.54</v>
      </c>
      <c r="L97" s="1" t="s">
        <v>137</v>
      </c>
      <c r="M97" s="1" t="s">
        <v>17</v>
      </c>
    </row>
    <row r="98" spans="1:13" x14ac:dyDescent="0.25">
      <c r="A98" s="1" t="s">
        <v>120</v>
      </c>
      <c r="B98" s="1">
        <v>48</v>
      </c>
      <c r="C98" s="1" t="s">
        <v>26</v>
      </c>
      <c r="D98" s="1">
        <v>107.71</v>
      </c>
      <c r="E98" s="1">
        <v>19.079999999999998</v>
      </c>
      <c r="F98" s="1">
        <v>0</v>
      </c>
      <c r="G98" s="1">
        <v>2</v>
      </c>
      <c r="H98" s="1">
        <v>2</v>
      </c>
      <c r="I98" s="1">
        <v>1.8</v>
      </c>
      <c r="J98" s="1" t="s">
        <v>27</v>
      </c>
      <c r="K98" s="1">
        <v>16.45</v>
      </c>
      <c r="L98" s="1" t="s">
        <v>16</v>
      </c>
      <c r="M98" s="1" t="s">
        <v>124</v>
      </c>
    </row>
    <row r="99" spans="1:13" x14ac:dyDescent="0.25">
      <c r="A99" s="1" t="s">
        <v>121</v>
      </c>
      <c r="B99" s="1">
        <v>57</v>
      </c>
      <c r="C99" s="1" t="s">
        <v>26</v>
      </c>
      <c r="D99" s="1">
        <v>112.41</v>
      </c>
      <c r="E99" s="1">
        <v>21.55</v>
      </c>
      <c r="F99" s="1">
        <v>2</v>
      </c>
      <c r="G99" s="1">
        <v>4</v>
      </c>
      <c r="H99" s="1">
        <v>0</v>
      </c>
      <c r="I99" s="1">
        <v>0.9</v>
      </c>
      <c r="J99" s="1" t="s">
        <v>15</v>
      </c>
      <c r="K99" s="1">
        <v>17.05</v>
      </c>
      <c r="L99" s="1" t="s">
        <v>16</v>
      </c>
      <c r="M99" s="1" t="s">
        <v>17</v>
      </c>
    </row>
    <row r="100" spans="1:13" x14ac:dyDescent="0.25">
      <c r="A100" s="1" t="s">
        <v>122</v>
      </c>
      <c r="B100" s="1">
        <v>45</v>
      </c>
      <c r="C100" s="1" t="s">
        <v>26</v>
      </c>
      <c r="D100" s="1">
        <v>110.12</v>
      </c>
      <c r="E100" s="1">
        <v>18.510000000000002</v>
      </c>
      <c r="F100" s="1">
        <v>0</v>
      </c>
      <c r="G100" s="1">
        <v>2</v>
      </c>
      <c r="H100" s="1">
        <v>0</v>
      </c>
      <c r="I100" s="1">
        <v>0.9</v>
      </c>
      <c r="J100" s="1" t="s">
        <v>31</v>
      </c>
      <c r="K100" s="1">
        <v>15.26</v>
      </c>
      <c r="L100" s="1" t="s">
        <v>16</v>
      </c>
      <c r="M100" s="1" t="s">
        <v>124</v>
      </c>
    </row>
    <row r="101" spans="1:13" x14ac:dyDescent="0.25">
      <c r="A101" s="1" t="s">
        <v>123</v>
      </c>
      <c r="B101" s="1">
        <v>49</v>
      </c>
      <c r="C101" s="1" t="s">
        <v>26</v>
      </c>
      <c r="D101" s="1">
        <v>106.6</v>
      </c>
      <c r="E101" s="1">
        <v>21.21</v>
      </c>
      <c r="F101" s="1">
        <v>0</v>
      </c>
      <c r="G101" s="1">
        <v>0</v>
      </c>
      <c r="H101" s="1">
        <v>2</v>
      </c>
      <c r="I101" s="1">
        <v>2.5</v>
      </c>
      <c r="J101" s="1" t="s">
        <v>31</v>
      </c>
      <c r="K101" s="1">
        <v>18.66</v>
      </c>
      <c r="L101" s="1" t="s">
        <v>137</v>
      </c>
      <c r="M101" s="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49"/>
  <sheetViews>
    <sheetView topLeftCell="E3" zoomScale="90" zoomScaleNormal="90" workbookViewId="0">
      <selection activeCell="O3" sqref="O3:O4"/>
    </sheetView>
  </sheetViews>
  <sheetFormatPr defaultRowHeight="15" x14ac:dyDescent="0.25"/>
  <cols>
    <col min="1" max="1" width="13.28515625" customWidth="1"/>
    <col min="2" max="2" width="20.7109375" customWidth="1"/>
    <col min="3" max="3" width="13.7109375" customWidth="1"/>
    <col min="4" max="4" width="20.85546875" customWidth="1"/>
    <col min="5" max="5" width="13.7109375" customWidth="1"/>
    <col min="6" max="6" width="25.85546875" customWidth="1"/>
    <col min="7" max="7" width="18.28515625" customWidth="1"/>
    <col min="8" max="8" width="16.28515625" customWidth="1"/>
    <col min="9" max="9" width="13.7109375" customWidth="1"/>
    <col min="10" max="10" width="11.28515625" customWidth="1"/>
    <col min="11" max="11" width="14.5703125" customWidth="1"/>
    <col min="12" max="12" width="20.7109375" customWidth="1"/>
    <col min="13" max="13" width="14.7109375" customWidth="1"/>
    <col min="14" max="14" width="20.85546875" customWidth="1"/>
    <col min="15" max="15" width="26" customWidth="1"/>
    <col min="16" max="16" width="25.85546875" customWidth="1"/>
    <col min="17" max="21" width="6" customWidth="1"/>
    <col min="22" max="22" width="5" customWidth="1"/>
    <col min="23" max="24" width="6" customWidth="1"/>
    <col min="25" max="25" width="5" customWidth="1"/>
    <col min="26" max="27" width="6" customWidth="1"/>
    <col min="28" max="28" width="5" customWidth="1"/>
    <col min="29" max="37" width="6" customWidth="1"/>
    <col min="38" max="38" width="5" customWidth="1"/>
    <col min="39" max="50" width="6" customWidth="1"/>
    <col min="51" max="51" width="5" customWidth="1"/>
    <col min="52" max="60" width="6" customWidth="1"/>
    <col min="61" max="61" width="5" customWidth="1"/>
    <col min="62" max="65" width="6" customWidth="1"/>
    <col min="66" max="66" width="5" customWidth="1"/>
    <col min="67" max="75" width="6" customWidth="1"/>
    <col min="76" max="76" width="4.5703125" customWidth="1"/>
    <col min="77" max="89" width="6" customWidth="1"/>
    <col min="90" max="90" width="5" customWidth="1"/>
    <col min="91" max="95" width="6" customWidth="1"/>
    <col min="96" max="96" width="29.7109375" bestFit="1" customWidth="1"/>
    <col min="97" max="99" width="6" customWidth="1"/>
    <col min="100" max="100" width="5" customWidth="1"/>
    <col min="101" max="107" width="6" customWidth="1"/>
    <col min="108" max="108" width="5" customWidth="1"/>
    <col min="109" max="115" width="6" customWidth="1"/>
    <col min="116" max="116" width="5" customWidth="1"/>
    <col min="117" max="118" width="6" customWidth="1"/>
    <col min="119" max="119" width="5" customWidth="1"/>
    <col min="120" max="121" width="6" customWidth="1"/>
    <col min="122" max="122" width="5" customWidth="1"/>
    <col min="123" max="131" width="6" customWidth="1"/>
    <col min="132" max="132" width="5" customWidth="1"/>
    <col min="133" max="144" width="6" customWidth="1"/>
    <col min="145" max="145" width="5" customWidth="1"/>
    <col min="146" max="154" width="6" customWidth="1"/>
    <col min="155" max="155" width="5" customWidth="1"/>
    <col min="156" max="159" width="6" customWidth="1"/>
    <col min="160" max="160" width="5" customWidth="1"/>
    <col min="161" max="169" width="6" customWidth="1"/>
    <col min="170" max="170" width="4.5703125" customWidth="1"/>
    <col min="171" max="183" width="6" customWidth="1"/>
    <col min="184" max="184" width="5" customWidth="1"/>
    <col min="185" max="189" width="6" customWidth="1"/>
    <col min="190" max="190" width="36.7109375" bestFit="1" customWidth="1"/>
    <col min="191" max="191" width="34.7109375" bestFit="1" customWidth="1"/>
  </cols>
  <sheetData>
    <row r="2" spans="1:16" x14ac:dyDescent="0.25">
      <c r="G2" s="2" t="s">
        <v>129</v>
      </c>
      <c r="H2" s="2" t="s">
        <v>128</v>
      </c>
    </row>
    <row r="3" spans="1:16" x14ac:dyDescent="0.25">
      <c r="A3" s="2" t="s">
        <v>129</v>
      </c>
      <c r="B3" s="2" t="s">
        <v>128</v>
      </c>
      <c r="G3" s="2" t="s">
        <v>126</v>
      </c>
      <c r="H3" t="s">
        <v>137</v>
      </c>
      <c r="I3" t="s">
        <v>16</v>
      </c>
      <c r="L3" t="s">
        <v>135</v>
      </c>
      <c r="M3" t="s">
        <v>130</v>
      </c>
      <c r="N3" t="s">
        <v>134</v>
      </c>
      <c r="O3" t="s">
        <v>138</v>
      </c>
      <c r="P3" t="s">
        <v>139</v>
      </c>
    </row>
    <row r="4" spans="1:16" x14ac:dyDescent="0.25">
      <c r="A4" s="2" t="s">
        <v>126</v>
      </c>
      <c r="B4" t="s">
        <v>16</v>
      </c>
      <c r="C4" t="s">
        <v>137</v>
      </c>
      <c r="G4" s="3" t="s">
        <v>19</v>
      </c>
      <c r="H4" s="1">
        <v>9</v>
      </c>
      <c r="I4" s="1">
        <v>15</v>
      </c>
      <c r="L4" s="4">
        <v>103.15510000000002</v>
      </c>
      <c r="M4" s="4">
        <v>17.057800000000007</v>
      </c>
      <c r="N4" s="4">
        <v>18.196400000000004</v>
      </c>
      <c r="O4" t="s">
        <v>27</v>
      </c>
      <c r="P4" t="s">
        <v>125</v>
      </c>
    </row>
    <row r="5" spans="1:16" x14ac:dyDescent="0.25">
      <c r="A5" s="3" t="s">
        <v>125</v>
      </c>
      <c r="B5" s="1">
        <v>33</v>
      </c>
      <c r="C5" s="1">
        <v>6</v>
      </c>
      <c r="F5" s="3"/>
      <c r="G5" s="3" t="s">
        <v>27</v>
      </c>
      <c r="H5" s="1">
        <v>1</v>
      </c>
      <c r="I5" s="1">
        <v>20</v>
      </c>
      <c r="K5" s="4"/>
    </row>
    <row r="6" spans="1:16" x14ac:dyDescent="0.25">
      <c r="A6" s="3" t="s">
        <v>17</v>
      </c>
      <c r="B6" s="1">
        <v>21</v>
      </c>
      <c r="C6" s="1">
        <v>10</v>
      </c>
      <c r="F6" s="3"/>
      <c r="G6" s="3" t="s">
        <v>31</v>
      </c>
      <c r="H6" s="1">
        <v>2</v>
      </c>
      <c r="I6" s="1">
        <v>15</v>
      </c>
      <c r="K6" s="4"/>
    </row>
    <row r="7" spans="1:16" x14ac:dyDescent="0.25">
      <c r="A7" s="3" t="s">
        <v>124</v>
      </c>
      <c r="B7" s="1">
        <v>22</v>
      </c>
      <c r="C7" s="1">
        <v>8</v>
      </c>
      <c r="F7" s="3"/>
      <c r="G7" s="3" t="s">
        <v>15</v>
      </c>
      <c r="H7" s="1">
        <v>7</v>
      </c>
      <c r="I7" s="1">
        <v>19</v>
      </c>
      <c r="K7" s="4"/>
    </row>
    <row r="8" spans="1:16" x14ac:dyDescent="0.25">
      <c r="A8" s="3" t="s">
        <v>127</v>
      </c>
      <c r="B8" s="1">
        <v>76</v>
      </c>
      <c r="C8" s="1">
        <v>24</v>
      </c>
      <c r="G8" s="3" t="s">
        <v>34</v>
      </c>
      <c r="H8" s="1">
        <v>5</v>
      </c>
      <c r="I8" s="1">
        <v>7</v>
      </c>
    </row>
    <row r="9" spans="1:16" x14ac:dyDescent="0.25">
      <c r="G9" s="3" t="s">
        <v>127</v>
      </c>
      <c r="H9" s="1">
        <v>24</v>
      </c>
      <c r="I9" s="1">
        <v>76</v>
      </c>
    </row>
    <row r="10" spans="1:16" x14ac:dyDescent="0.25">
      <c r="A10" s="2" t="s">
        <v>130</v>
      </c>
      <c r="B10" s="2" t="s">
        <v>128</v>
      </c>
    </row>
    <row r="11" spans="1:16" x14ac:dyDescent="0.25">
      <c r="A11" s="2" t="s">
        <v>126</v>
      </c>
      <c r="B11" t="s">
        <v>16</v>
      </c>
      <c r="C11" t="s">
        <v>137</v>
      </c>
    </row>
    <row r="12" spans="1:16" x14ac:dyDescent="0.25">
      <c r="A12" s="3" t="s">
        <v>125</v>
      </c>
      <c r="B12" s="4">
        <v>15.871212121212121</v>
      </c>
      <c r="C12" s="4">
        <v>19.203333333333333</v>
      </c>
    </row>
    <row r="13" spans="1:16" x14ac:dyDescent="0.25">
      <c r="A13" s="3" t="s">
        <v>17</v>
      </c>
      <c r="B13" s="4">
        <v>16.578095238095234</v>
      </c>
      <c r="C13" s="4">
        <v>19.651999999999997</v>
      </c>
    </row>
    <row r="14" spans="1:16" x14ac:dyDescent="0.25">
      <c r="A14" s="3" t="s">
        <v>124</v>
      </c>
      <c r="B14" s="4">
        <v>16.500454545454545</v>
      </c>
      <c r="C14" s="4">
        <v>19.892499999999998</v>
      </c>
    </row>
    <row r="21" spans="1:4" x14ac:dyDescent="0.25">
      <c r="A21" s="3"/>
      <c r="B21" s="4"/>
      <c r="C21" s="4"/>
      <c r="D21" s="4"/>
    </row>
    <row r="22" spans="1:4" x14ac:dyDescent="0.25">
      <c r="A22" s="3"/>
      <c r="B22" s="4"/>
      <c r="C22" s="4"/>
      <c r="D22" s="4"/>
    </row>
    <row r="23" spans="1:4" x14ac:dyDescent="0.25">
      <c r="A23" s="3"/>
      <c r="B23" s="4"/>
      <c r="C23" s="4"/>
      <c r="D23" s="4"/>
    </row>
    <row r="24" spans="1:4" x14ac:dyDescent="0.25">
      <c r="A24" s="3"/>
      <c r="B24" s="4"/>
      <c r="C24" s="4"/>
      <c r="D24" s="4"/>
    </row>
    <row r="27" spans="1:4" x14ac:dyDescent="0.25">
      <c r="A27" s="2" t="s">
        <v>126</v>
      </c>
      <c r="B27" t="s">
        <v>133</v>
      </c>
      <c r="C27" t="s">
        <v>132</v>
      </c>
    </row>
    <row r="28" spans="1:4" x14ac:dyDescent="0.25">
      <c r="A28" s="3" t="s">
        <v>125</v>
      </c>
      <c r="B28" s="4">
        <v>1.9230769230769231</v>
      </c>
      <c r="C28" s="4">
        <v>2.5384615384615383</v>
      </c>
    </row>
    <row r="29" spans="1:4" x14ac:dyDescent="0.25">
      <c r="A29" s="3" t="s">
        <v>17</v>
      </c>
      <c r="B29" s="4">
        <v>1.7096774193548387</v>
      </c>
      <c r="C29" s="4">
        <v>1.935483870967742</v>
      </c>
    </row>
    <row r="30" spans="1:4" x14ac:dyDescent="0.25">
      <c r="A30" s="3" t="s">
        <v>124</v>
      </c>
      <c r="B30" s="4">
        <v>2.0666666666666669</v>
      </c>
      <c r="C30" s="4">
        <v>2</v>
      </c>
    </row>
    <row r="31" spans="1:4" x14ac:dyDescent="0.25">
      <c r="A31" s="3" t="s">
        <v>127</v>
      </c>
      <c r="B31" s="4">
        <v>1.9</v>
      </c>
      <c r="C31" s="4">
        <v>2.19</v>
      </c>
    </row>
    <row r="34" spans="1:5" x14ac:dyDescent="0.25">
      <c r="A34" s="2" t="s">
        <v>126</v>
      </c>
      <c r="B34" t="s">
        <v>136</v>
      </c>
      <c r="C34" t="s">
        <v>131</v>
      </c>
    </row>
    <row r="35" spans="1:5" x14ac:dyDescent="0.25">
      <c r="A35" s="3" t="s">
        <v>125</v>
      </c>
      <c r="B35" s="4">
        <v>1.6153846153846154</v>
      </c>
      <c r="C35" s="4">
        <v>1.4358974358974359</v>
      </c>
    </row>
    <row r="36" spans="1:5" x14ac:dyDescent="0.25">
      <c r="A36" s="3" t="s">
        <v>17</v>
      </c>
      <c r="B36" s="4">
        <v>1.1290322580645162</v>
      </c>
      <c r="C36" s="4">
        <v>1.3419354838709681</v>
      </c>
    </row>
    <row r="37" spans="1:5" x14ac:dyDescent="0.25">
      <c r="A37" s="3" t="s">
        <v>124</v>
      </c>
      <c r="B37" s="4">
        <v>1.3</v>
      </c>
      <c r="C37" s="4">
        <v>1.3866666666666667</v>
      </c>
    </row>
    <row r="43" spans="1:5" x14ac:dyDescent="0.25">
      <c r="B43" s="2" t="s">
        <v>128</v>
      </c>
    </row>
    <row r="44" spans="1:5" x14ac:dyDescent="0.25">
      <c r="B44" t="s">
        <v>135</v>
      </c>
      <c r="D44" t="s">
        <v>134</v>
      </c>
    </row>
    <row r="45" spans="1:5" x14ac:dyDescent="0.25">
      <c r="A45" s="2" t="s">
        <v>126</v>
      </c>
      <c r="B45" t="s">
        <v>137</v>
      </c>
      <c r="C45" t="s">
        <v>16</v>
      </c>
      <c r="D45" t="s">
        <v>137</v>
      </c>
      <c r="E45" t="s">
        <v>16</v>
      </c>
    </row>
    <row r="46" spans="1:5" x14ac:dyDescent="0.25">
      <c r="A46" s="3" t="s">
        <v>125</v>
      </c>
      <c r="B46" s="4">
        <v>95.12</v>
      </c>
      <c r="C46" s="4">
        <v>97.544848484848472</v>
      </c>
      <c r="D46" s="4">
        <v>17.385000000000002</v>
      </c>
      <c r="E46" s="4">
        <v>15.049090909090905</v>
      </c>
    </row>
    <row r="47" spans="1:5" x14ac:dyDescent="0.25">
      <c r="A47" s="3" t="s">
        <v>17</v>
      </c>
      <c r="B47" s="4">
        <v>107.28399999999999</v>
      </c>
      <c r="C47" s="4">
        <v>110.67761904761903</v>
      </c>
      <c r="D47" s="4">
        <v>22.637</v>
      </c>
      <c r="E47" s="4">
        <v>20.282380952380954</v>
      </c>
    </row>
    <row r="48" spans="1:5" x14ac:dyDescent="0.25">
      <c r="A48" s="3" t="s">
        <v>124</v>
      </c>
      <c r="B48" s="4">
        <v>101.72999999999999</v>
      </c>
      <c r="C48" s="4">
        <v>105.22272727272725</v>
      </c>
      <c r="D48" s="4">
        <v>20.605</v>
      </c>
      <c r="E48" s="4">
        <v>18.253181818181815</v>
      </c>
    </row>
    <row r="49" spans="1:5" x14ac:dyDescent="0.25">
      <c r="A49" s="3" t="s">
        <v>127</v>
      </c>
      <c r="B49" s="4">
        <v>102.39166666666669</v>
      </c>
      <c r="C49" s="4">
        <v>103.39618421052633</v>
      </c>
      <c r="D49" s="4">
        <v>20.646666666666665</v>
      </c>
      <c r="E49" s="4">
        <v>17.422631578947374</v>
      </c>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E33" sqref="AE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A6FAE-7912-45DC-B74B-66C0599AAA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 Validation</vt:lpstr>
      <vt:lpstr>Modified Data</vt:lpstr>
      <vt:lpstr>Pivot Tables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PARIBABU</dc:creator>
  <cp:lastModifiedBy>PARIBABU</cp:lastModifiedBy>
  <dcterms:created xsi:type="dcterms:W3CDTF">2026-03-18T08:58:28Z</dcterms:created>
  <dcterms:modified xsi:type="dcterms:W3CDTF">2026-03-18T16:46:57Z</dcterms:modified>
</cp:coreProperties>
</file>