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PARIBABU\Desktop\"/>
    </mc:Choice>
  </mc:AlternateContent>
  <bookViews>
    <workbookView xWindow="0" yWindow="0" windowWidth="20460" windowHeight="7590" activeTab="4"/>
  </bookViews>
  <sheets>
    <sheet name="student_screen_time_raw" sheetId="1" r:id="rId1"/>
    <sheet name="Modified data" sheetId="2" r:id="rId2"/>
    <sheet name="BRD" sheetId="5" r:id="rId3"/>
    <sheet name="Sheet2" sheetId="3" state="hidden" r:id="rId4"/>
    <sheet name="Dash Board" sheetId="4" r:id="rId5"/>
  </sheets>
  <definedNames>
    <definedName name="ExternalData_1" localSheetId="1" hidden="1">'Modified data'!$A$1:$I$201</definedName>
    <definedName name="Slicer_Age">#N/A</definedName>
  </definedNames>
  <calcPr calcId="162913"/>
  <pivotCaches>
    <pivotCache cacheId="2" r:id="rId6"/>
  </pivotCaches>
  <fileRecoveryPr repairLoad="1"/>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L11" i="2" l="1"/>
  <c r="K8" i="2" l="1"/>
  <c r="K5" i="2"/>
  <c r="K2" i="2"/>
</calcChain>
</file>

<file path=xl/connections.xml><?xml version="1.0" encoding="utf-8"?>
<connections xmlns="http://schemas.openxmlformats.org/spreadsheetml/2006/main">
  <connection id="1" keepAlive="1" name="Query - student_screen_time_raw" description="Connection to the 'student_screen_time_raw' query in the workbook." type="5" refreshedVersion="6" background="1" saveData="1">
    <dbPr connection="Provider=Microsoft.Mashup.OleDb.1;Data Source=$Workbook$;Location=student_screen_time_raw;Extended Properties=&quot;&quot;" command="SELECT * FROM [student_screen_time_raw]"/>
  </connection>
</connections>
</file>

<file path=xl/sharedStrings.xml><?xml version="1.0" encoding="utf-8"?>
<sst xmlns="http://schemas.openxmlformats.org/spreadsheetml/2006/main" count="455" uniqueCount="29">
  <si>
    <t>Student_ID</t>
  </si>
  <si>
    <t>Age</t>
  </si>
  <si>
    <t>Study_Hours</t>
  </si>
  <si>
    <t>Screen_Time</t>
  </si>
  <si>
    <t>Test_Scores</t>
  </si>
  <si>
    <t>Extra_Curricular_Hours</t>
  </si>
  <si>
    <t>Performance</t>
  </si>
  <si>
    <t>Study Efficiency</t>
  </si>
  <si>
    <t>Good Students</t>
  </si>
  <si>
    <t>High</t>
  </si>
  <si>
    <t>Average Students</t>
  </si>
  <si>
    <t xml:space="preserve">Very High </t>
  </si>
  <si>
    <t>Poor Students</t>
  </si>
  <si>
    <t>Low</t>
  </si>
  <si>
    <t>Top Students</t>
  </si>
  <si>
    <t>Average</t>
  </si>
  <si>
    <t>Row Labels</t>
  </si>
  <si>
    <t>Grand Total</t>
  </si>
  <si>
    <t>Average of Study_Hours</t>
  </si>
  <si>
    <t>Average of Screen_Time</t>
  </si>
  <si>
    <t>Average of Extra_Curricular_Hours</t>
  </si>
  <si>
    <t>Average of Test_Scores</t>
  </si>
  <si>
    <t>(All)</t>
  </si>
  <si>
    <t xml:space="preserve">Average Study Hours </t>
  </si>
  <si>
    <t xml:space="preserve">Average Screen Time </t>
  </si>
  <si>
    <t>Average Test Score</t>
  </si>
  <si>
    <t>Top Student</t>
  </si>
  <si>
    <t xml:space="preserve"> =</t>
  </si>
  <si>
    <t>Screen time usage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</si>
</sst>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6" fillId="33" borderId="10" xfId="0" applyFont="1" applyFill="1"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006100"/>
      </font>
      <fill>
        <patternFill>
          <bgColor rgb="FFC6EFCE"/>
        </patternFill>
      </fill>
    </dxf>
    <dxf>
      <font>
        <color rgb="FF006100"/>
      </font>
      <fill>
        <patternFill>
          <bgColor rgb="FFC6EFCE"/>
        </patternFill>
      </fill>
    </dxf>
    <dxf>
      <font>
        <color rgb="FF9C6500"/>
      </font>
      <fill>
        <patternFill>
          <bgColor rgb="FFFFEB9C"/>
        </patternFill>
      </fill>
    </dxf>
  </dxfs>
  <tableStyles count="0" defaultTableStyle="TableStyleMedium2" defaultPivotStyle="PivotStyleLight16"/>
  <colors>
    <mruColors>
      <color rgb="FFF63A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[student_screen_time_analysis.xlsx]Sheet2!PivotTable1</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Sheet2!$B$1</c:f>
              <c:strCache>
                <c:ptCount val="1"/>
                <c:pt idx="0">
                  <c:v>Average of Study_Hours</c:v>
                </c:pt>
              </c:strCache>
            </c:strRef>
          </c:tx>
          <c:spPr>
            <a:solidFill>
              <a:schemeClr val="accent1"/>
            </a:solidFill>
            <a:ln>
              <a:noFill/>
            </a:ln>
            <a:effectLst/>
          </c:spPr>
          <c:invertIfNegative val="0"/>
          <c:cat>
            <c:strRef>
              <c:f>Sheet2!$A$2:$A$5</c:f>
              <c:strCache>
                <c:ptCount val="4"/>
                <c:pt idx="0">
                  <c:v>Average Students</c:v>
                </c:pt>
                <c:pt idx="1">
                  <c:v>Good Students</c:v>
                </c:pt>
                <c:pt idx="2">
                  <c:v>Poor Students</c:v>
                </c:pt>
                <c:pt idx="3">
                  <c:v>Top Students</c:v>
                </c:pt>
              </c:strCache>
            </c:strRef>
          </c:cat>
          <c:val>
            <c:numRef>
              <c:f>Sheet2!$B$2:$B$5</c:f>
              <c:numCache>
                <c:formatCode>0.00</c:formatCode>
                <c:ptCount val="4"/>
                <c:pt idx="0">
                  <c:v>2.4921052631578946</c:v>
                </c:pt>
                <c:pt idx="1">
                  <c:v>2.5302083333333325</c:v>
                </c:pt>
                <c:pt idx="2">
                  <c:v>2.8200000000000003</c:v>
                </c:pt>
                <c:pt idx="3">
                  <c:v>2.7166666666666668</c:v>
                </c:pt>
              </c:numCache>
            </c:numRef>
          </c:val>
          <c:extLst>
            <c:ext xmlns:c16="http://schemas.microsoft.com/office/drawing/2014/chart" uri="{C3380CC4-5D6E-409C-BE32-E72D297353CC}">
              <c16:uniqueId val="{00000000-D0D7-496B-94F4-0C092A72429D}"/>
            </c:ext>
          </c:extLst>
        </c:ser>
        <c:ser>
          <c:idx val="1"/>
          <c:order val="1"/>
          <c:tx>
            <c:strRef>
              <c:f>Sheet2!$C$1</c:f>
              <c:strCache>
                <c:ptCount val="1"/>
                <c:pt idx="0">
                  <c:v>Average of Extra_Curricular_Hours</c:v>
                </c:pt>
              </c:strCache>
            </c:strRef>
          </c:tx>
          <c:spPr>
            <a:solidFill>
              <a:schemeClr val="accent2"/>
            </a:solidFill>
            <a:ln>
              <a:noFill/>
            </a:ln>
            <a:effectLst/>
          </c:spPr>
          <c:invertIfNegative val="0"/>
          <c:cat>
            <c:strRef>
              <c:f>Sheet2!$A$2:$A$5</c:f>
              <c:strCache>
                <c:ptCount val="4"/>
                <c:pt idx="0">
                  <c:v>Average Students</c:v>
                </c:pt>
                <c:pt idx="1">
                  <c:v>Good Students</c:v>
                </c:pt>
                <c:pt idx="2">
                  <c:v>Poor Students</c:v>
                </c:pt>
                <c:pt idx="3">
                  <c:v>Top Students</c:v>
                </c:pt>
              </c:strCache>
            </c:strRef>
          </c:cat>
          <c:val>
            <c:numRef>
              <c:f>Sheet2!$C$2:$C$5</c:f>
              <c:numCache>
                <c:formatCode>0.00</c:formatCode>
                <c:ptCount val="4"/>
                <c:pt idx="0">
                  <c:v>1.427631578947369</c:v>
                </c:pt>
                <c:pt idx="1">
                  <c:v>1.575</c:v>
                </c:pt>
                <c:pt idx="2">
                  <c:v>1.7400000000000002</c:v>
                </c:pt>
                <c:pt idx="3">
                  <c:v>1.7111111111111112</c:v>
                </c:pt>
              </c:numCache>
            </c:numRef>
          </c:val>
          <c:extLst>
            <c:ext xmlns:c16="http://schemas.microsoft.com/office/drawing/2014/chart" uri="{C3380CC4-5D6E-409C-BE32-E72D297353CC}">
              <c16:uniqueId val="{00000001-D0D7-496B-94F4-0C092A72429D}"/>
            </c:ext>
          </c:extLst>
        </c:ser>
        <c:ser>
          <c:idx val="2"/>
          <c:order val="2"/>
          <c:tx>
            <c:strRef>
              <c:f>Sheet2!$D$1</c:f>
              <c:strCache>
                <c:ptCount val="1"/>
                <c:pt idx="0">
                  <c:v>Average of Screen_Time</c:v>
                </c:pt>
              </c:strCache>
            </c:strRef>
          </c:tx>
          <c:spPr>
            <a:solidFill>
              <a:schemeClr val="accent3"/>
            </a:solidFill>
            <a:ln>
              <a:noFill/>
            </a:ln>
            <a:effectLst/>
          </c:spPr>
          <c:invertIfNegative val="0"/>
          <c:cat>
            <c:strRef>
              <c:f>Sheet2!$A$2:$A$5</c:f>
              <c:strCache>
                <c:ptCount val="4"/>
                <c:pt idx="0">
                  <c:v>Average Students</c:v>
                </c:pt>
                <c:pt idx="1">
                  <c:v>Good Students</c:v>
                </c:pt>
                <c:pt idx="2">
                  <c:v>Poor Students</c:v>
                </c:pt>
                <c:pt idx="3">
                  <c:v>Top Students</c:v>
                </c:pt>
              </c:strCache>
            </c:strRef>
          </c:cat>
          <c:val>
            <c:numRef>
              <c:f>Sheet2!$D$2:$D$5</c:f>
              <c:numCache>
                <c:formatCode>0.00</c:formatCode>
                <c:ptCount val="4"/>
                <c:pt idx="0">
                  <c:v>3.9315789473684206</c:v>
                </c:pt>
                <c:pt idx="1">
                  <c:v>3.9260416666666682</c:v>
                </c:pt>
                <c:pt idx="2">
                  <c:v>3.87</c:v>
                </c:pt>
                <c:pt idx="3">
                  <c:v>4.8666666666666663</c:v>
                </c:pt>
              </c:numCache>
            </c:numRef>
          </c:val>
          <c:extLst>
            <c:ext xmlns:c16="http://schemas.microsoft.com/office/drawing/2014/chart" uri="{C3380CC4-5D6E-409C-BE32-E72D297353CC}">
              <c16:uniqueId val="{00000002-D0D7-496B-94F4-0C092A72429D}"/>
            </c:ext>
          </c:extLst>
        </c:ser>
        <c:dLbls>
          <c:showLegendKey val="0"/>
          <c:showVal val="0"/>
          <c:showCatName val="0"/>
          <c:showSerName val="0"/>
          <c:showPercent val="0"/>
          <c:showBubbleSize val="0"/>
        </c:dLbls>
        <c:gapWidth val="219"/>
        <c:overlap val="-27"/>
        <c:axId val="1633847456"/>
        <c:axId val="1633847872"/>
      </c:barChart>
      <c:catAx>
        <c:axId val="163384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847872"/>
        <c:crosses val="autoZero"/>
        <c:auto val="1"/>
        <c:lblAlgn val="ctr"/>
        <c:lblOffset val="100"/>
        <c:noMultiLvlLbl val="0"/>
      </c:catAx>
      <c:valAx>
        <c:axId val="16338478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8474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[student_screen_time_analysis.xlsx]Sheet2!PivotTable3</c:name>
    <c:fmtId val="1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19050">
            <a:solidFill>
              <a:schemeClr val="lt1"/>
            </a:solidFill>
          </a:ln>
          <a:effectLst/>
        </c:spPr>
        <c:marker>
          <c:symbol val="none"/>
        </c:marker>
      </c:pivotFmt>
    </c:pivotFmts>
    <c:plotArea>
      <c:layout/>
      <c:ofPieChart>
        <c:ofPieType val="pie"/>
        <c:varyColors val="1"/>
        <c:ser>
          <c:idx val="0"/>
          <c:order val="0"/>
          <c:tx>
            <c:strRef>
              <c:f>Sheet2!$B$18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Sheet2!$A$19:$A$23</c:f>
              <c:strCache>
                <c:ptCount val="4"/>
                <c:pt idx="0">
                  <c:v>Average Students</c:v>
                </c:pt>
                <c:pt idx="1">
                  <c:v>Good Students</c:v>
                </c:pt>
                <c:pt idx="2">
                  <c:v>Poor Students</c:v>
                </c:pt>
                <c:pt idx="3">
                  <c:v>Top Students</c:v>
                </c:pt>
              </c:strCache>
            </c:strRef>
          </c:cat>
          <c:val>
            <c:numRef>
              <c:f>Sheet2!$B$19:$B$23</c:f>
              <c:numCache>
                <c:formatCode>0.00</c:formatCode>
                <c:ptCount val="4"/>
                <c:pt idx="0">
                  <c:v>1.427631578947369</c:v>
                </c:pt>
                <c:pt idx="1">
                  <c:v>1.575</c:v>
                </c:pt>
                <c:pt idx="2">
                  <c:v>1.7400000000000002</c:v>
                </c:pt>
                <c:pt idx="3">
                  <c:v>1.7111111111111112</c:v>
                </c:pt>
              </c:numCache>
            </c:numRef>
          </c:val>
          <c:extLst>
            <c:ext xmlns:c16="http://schemas.microsoft.com/office/drawing/2014/chart" uri="{C3380CC4-5D6E-409C-BE32-E72D297353CC}">
              <c16:uniqueId val="{00000001-4035-46A5-BBA2-D2AB1D488D92}"/>
            </c:ext>
          </c:extLst>
        </c:ser>
        <c:dLbls>
          <c:showLegendKey val="0"/>
          <c:showVal val="0"/>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[student_screen_time_analysis.xlsx]Sheet2!PivotTable2</c:name>
    <c:fmtId val="6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974131192180858"/>
          <c:y val="0.51964381644991098"/>
          <c:w val="0.76787422282273887"/>
          <c:h val="0.36453589297455058"/>
        </c:manualLayout>
      </c:layout>
      <c:bar3DChart>
        <c:barDir val="col"/>
        <c:grouping val="clustered"/>
        <c:varyColors val="0"/>
        <c:ser>
          <c:idx val="0"/>
          <c:order val="0"/>
          <c:tx>
            <c:strRef>
              <c:f>Sheet2!$B$10</c:f>
              <c:strCache>
                <c:ptCount val="1"/>
                <c:pt idx="0">
                  <c:v>Total</c:v>
                </c:pt>
              </c:strCache>
            </c:strRef>
          </c:tx>
          <c:spPr>
            <a:solidFill>
              <a:schemeClr val="accent1"/>
            </a:solidFill>
            <a:ln>
              <a:noFill/>
            </a:ln>
            <a:effectLst/>
            <a:sp3d/>
          </c:spPr>
          <c:invertIfNegative val="0"/>
          <c:cat>
            <c:strRef>
              <c:f>Sheet2!$A$11:$A$14</c:f>
              <c:strCache>
                <c:ptCount val="4"/>
                <c:pt idx="0">
                  <c:v>Average</c:v>
                </c:pt>
                <c:pt idx="1">
                  <c:v>High</c:v>
                </c:pt>
                <c:pt idx="2">
                  <c:v>Low</c:v>
                </c:pt>
                <c:pt idx="3">
                  <c:v>Very High </c:v>
                </c:pt>
              </c:strCache>
            </c:strRef>
          </c:cat>
          <c:val>
            <c:numRef>
              <c:f>Sheet2!$B$11:$B$14</c:f>
              <c:numCache>
                <c:formatCode>0.00</c:formatCode>
                <c:ptCount val="4"/>
                <c:pt idx="0">
                  <c:v>69.3</c:v>
                </c:pt>
                <c:pt idx="1">
                  <c:v>69.043055555555554</c:v>
                </c:pt>
                <c:pt idx="2">
                  <c:v>70.949999999999989</c:v>
                </c:pt>
                <c:pt idx="3">
                  <c:v>72.200952380952401</c:v>
                </c:pt>
              </c:numCache>
            </c:numRef>
          </c:val>
          <c:extLst>
            <c:ext xmlns:c16="http://schemas.microsoft.com/office/drawing/2014/chart" uri="{C3380CC4-5D6E-409C-BE32-E72D297353CC}">
              <c16:uniqueId val="{00000000-E1EF-478B-8FD8-4E04CDCD252E}"/>
            </c:ext>
          </c:extLst>
        </c:ser>
        <c:dLbls>
          <c:showLegendKey val="0"/>
          <c:showVal val="0"/>
          <c:showCatName val="0"/>
          <c:showSerName val="0"/>
          <c:showPercent val="0"/>
          <c:showBubbleSize val="0"/>
        </c:dLbls>
        <c:gapWidth val="150"/>
        <c:shape val="box"/>
        <c:axId val="1888612512"/>
        <c:axId val="1888613760"/>
        <c:axId val="0"/>
      </c:bar3DChart>
      <c:catAx>
        <c:axId val="1888612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613760"/>
        <c:crosses val="autoZero"/>
        <c:auto val="1"/>
        <c:lblAlgn val="ctr"/>
        <c:lblOffset val="100"/>
        <c:noMultiLvlLbl val="0"/>
      </c:catAx>
      <c:valAx>
        <c:axId val="18886137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6125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[student_screen_time_analysis.xlsx]Sheet2!PivotTable4</c:name>
    <c:fmtId val="12"/>
  </c:pivotSource>
  <c:chart>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Sheet2!$B$27</c:f>
              <c:strCache>
                <c:ptCount val="1"/>
                <c:pt idx="0">
                  <c:v>Average of Study_Hours</c:v>
                </c:pt>
              </c:strCache>
            </c:strRef>
          </c:tx>
          <c:spPr>
            <a:solidFill>
              <a:schemeClr val="accent1"/>
            </a:solidFill>
            <a:ln>
              <a:noFill/>
            </a:ln>
            <a:effectLst/>
          </c:spPr>
          <c:invertIfNegative val="0"/>
          <c:cat>
            <c:strRef>
              <c:f>Sheet2!$A$28:$A$32</c:f>
              <c:strCache>
                <c:ptCount val="4"/>
                <c:pt idx="0">
                  <c:v>Average Students</c:v>
                </c:pt>
                <c:pt idx="1">
                  <c:v>Good Students</c:v>
                </c:pt>
                <c:pt idx="2">
                  <c:v>Poor Students</c:v>
                </c:pt>
                <c:pt idx="3">
                  <c:v>Top Students</c:v>
                </c:pt>
              </c:strCache>
            </c:strRef>
          </c:cat>
          <c:val>
            <c:numRef>
              <c:f>Sheet2!$B$28:$B$32</c:f>
              <c:numCache>
                <c:formatCode>0.00</c:formatCode>
                <c:ptCount val="4"/>
                <c:pt idx="0">
                  <c:v>2.4921052631578946</c:v>
                </c:pt>
                <c:pt idx="1">
                  <c:v>2.5302083333333325</c:v>
                </c:pt>
                <c:pt idx="2">
                  <c:v>2.8200000000000003</c:v>
                </c:pt>
                <c:pt idx="3">
                  <c:v>2.7166666666666668</c:v>
                </c:pt>
              </c:numCache>
            </c:numRef>
          </c:val>
          <c:extLst>
            <c:ext xmlns:c16="http://schemas.microsoft.com/office/drawing/2014/chart" uri="{C3380CC4-5D6E-409C-BE32-E72D297353CC}">
              <c16:uniqueId val="{00000000-DFE1-4F8D-AD28-5FCBFC7187CC}"/>
            </c:ext>
          </c:extLst>
        </c:ser>
        <c:dLbls>
          <c:showLegendKey val="0"/>
          <c:showVal val="0"/>
          <c:showCatName val="0"/>
          <c:showSerName val="0"/>
          <c:showPercent val="0"/>
          <c:showBubbleSize val="0"/>
        </c:dLbls>
        <c:gapWidth val="150"/>
        <c:axId val="1889329840"/>
        <c:axId val="1889326928"/>
      </c:barChart>
      <c:lineChart>
        <c:grouping val="standard"/>
        <c:varyColors val="0"/>
        <c:ser>
          <c:idx val="1"/>
          <c:order val="1"/>
          <c:tx>
            <c:strRef>
              <c:f>Sheet2!$C$27</c:f>
              <c:strCache>
                <c:ptCount val="1"/>
                <c:pt idx="0">
                  <c:v>Average of Screen_Time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Sheet2!$A$28:$A$32</c:f>
              <c:strCache>
                <c:ptCount val="4"/>
                <c:pt idx="0">
                  <c:v>Average Students</c:v>
                </c:pt>
                <c:pt idx="1">
                  <c:v>Good Students</c:v>
                </c:pt>
                <c:pt idx="2">
                  <c:v>Poor Students</c:v>
                </c:pt>
                <c:pt idx="3">
                  <c:v>Top Students</c:v>
                </c:pt>
              </c:strCache>
            </c:strRef>
          </c:cat>
          <c:val>
            <c:numRef>
              <c:f>Sheet2!$C$28:$C$32</c:f>
              <c:numCache>
                <c:formatCode>0.00</c:formatCode>
                <c:ptCount val="4"/>
                <c:pt idx="0">
                  <c:v>3.9315789473684206</c:v>
                </c:pt>
                <c:pt idx="1">
                  <c:v>3.9260416666666682</c:v>
                </c:pt>
                <c:pt idx="2">
                  <c:v>3.87</c:v>
                </c:pt>
                <c:pt idx="3">
                  <c:v>4.8666666666666663</c:v>
                </c:pt>
              </c:numCache>
            </c:numRef>
          </c:val>
          <c:smooth val="0"/>
          <c:extLst>
            <c:ext xmlns:c16="http://schemas.microsoft.com/office/drawing/2014/chart" uri="{C3380CC4-5D6E-409C-BE32-E72D297353CC}">
              <c16:uniqueId val="{00000001-DFE1-4F8D-AD28-5FCBFC7187CC}"/>
            </c:ext>
          </c:extLst>
        </c:ser>
        <c:dLbls>
          <c:showLegendKey val="0"/>
          <c:showVal val="0"/>
          <c:showCatName val="0"/>
          <c:showSerName val="0"/>
          <c:showPercent val="0"/>
          <c:showBubbleSize val="0"/>
        </c:dLbls>
        <c:marker val="1"/>
        <c:smooth val="0"/>
        <c:axId val="1889329840"/>
        <c:axId val="1889326928"/>
      </c:lineChart>
      <c:catAx>
        <c:axId val="188932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326928"/>
        <c:auto val="1"/>
        <c:lblAlgn val="ctr"/>
        <c:lblOffset val="100"/>
        <c:noMultiLvlLbl val="0"/>
      </c:catAx>
      <c:valAx>
        <c:axId val="18893269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329840"/>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[student_screen_time_analysis.xlsx]Sheet2!PivotTable1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C00000"/>
                </a:solidFill>
              </a:rPr>
              <a:t>TIME</a:t>
            </a:r>
            <a:r>
              <a:rPr lang="en-US" sz="1600" b="1" baseline="0">
                <a:solidFill>
                  <a:srgbClr val="C00000"/>
                </a:solidFill>
              </a:rPr>
              <a:t> Vs PERFORMANCE</a:t>
            </a:r>
            <a:endParaRPr lang="en-US" sz="1600" b="1">
              <a:solidFill>
                <a:srgbClr val="C00000"/>
              </a:solidFill>
            </a:endParaRPr>
          </a:p>
        </c:rich>
      </c:tx>
      <c:layout>
        <c:manualLayout>
          <c:xMode val="edge"/>
          <c:yMode val="edge"/>
          <c:x val="0.27952109531084735"/>
          <c:y val="0.1749052201808107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col"/>
        <c:grouping val="clustered"/>
        <c:varyColors val="0"/>
        <c:ser>
          <c:idx val="0"/>
          <c:order val="0"/>
          <c:tx>
            <c:strRef>
              <c:f>Sheet2!$B$1</c:f>
              <c:strCache>
                <c:ptCount val="1"/>
                <c:pt idx="0">
                  <c:v>Average of Study_Hours</c:v>
                </c:pt>
              </c:strCache>
            </c:strRef>
          </c:tx>
          <c:spPr>
            <a:solidFill>
              <a:schemeClr val="accent1"/>
            </a:solidFill>
            <a:ln>
              <a:noFill/>
            </a:ln>
            <a:effectLst/>
          </c:spPr>
          <c:invertIfNegative val="0"/>
          <c:cat>
            <c:strRef>
              <c:f>Sheet2!$A$2:$A$5</c:f>
              <c:strCache>
                <c:ptCount val="4"/>
                <c:pt idx="0">
                  <c:v>Average Students</c:v>
                </c:pt>
                <c:pt idx="1">
                  <c:v>Good Students</c:v>
                </c:pt>
                <c:pt idx="2">
                  <c:v>Poor Students</c:v>
                </c:pt>
                <c:pt idx="3">
                  <c:v>Top Students</c:v>
                </c:pt>
              </c:strCache>
            </c:strRef>
          </c:cat>
          <c:val>
            <c:numRef>
              <c:f>Sheet2!$B$2:$B$5</c:f>
              <c:numCache>
                <c:formatCode>0.00</c:formatCode>
                <c:ptCount val="4"/>
                <c:pt idx="0">
                  <c:v>2.4921052631578946</c:v>
                </c:pt>
                <c:pt idx="1">
                  <c:v>2.5302083333333325</c:v>
                </c:pt>
                <c:pt idx="2">
                  <c:v>2.8200000000000003</c:v>
                </c:pt>
                <c:pt idx="3">
                  <c:v>2.7166666666666668</c:v>
                </c:pt>
              </c:numCache>
            </c:numRef>
          </c:val>
          <c:extLst>
            <c:ext xmlns:c16="http://schemas.microsoft.com/office/drawing/2014/chart" uri="{C3380CC4-5D6E-409C-BE32-E72D297353CC}">
              <c16:uniqueId val="{00000000-38E6-4E75-8EED-231BE191D0E0}"/>
            </c:ext>
          </c:extLst>
        </c:ser>
        <c:ser>
          <c:idx val="1"/>
          <c:order val="1"/>
          <c:tx>
            <c:strRef>
              <c:f>Sheet2!$C$1</c:f>
              <c:strCache>
                <c:ptCount val="1"/>
                <c:pt idx="0">
                  <c:v>Average of Extra_Curricular_Hours</c:v>
                </c:pt>
              </c:strCache>
            </c:strRef>
          </c:tx>
          <c:spPr>
            <a:solidFill>
              <a:schemeClr val="accent2"/>
            </a:solidFill>
            <a:ln>
              <a:noFill/>
            </a:ln>
            <a:effectLst/>
          </c:spPr>
          <c:invertIfNegative val="0"/>
          <c:cat>
            <c:strRef>
              <c:f>Sheet2!$A$2:$A$5</c:f>
              <c:strCache>
                <c:ptCount val="4"/>
                <c:pt idx="0">
                  <c:v>Average Students</c:v>
                </c:pt>
                <c:pt idx="1">
                  <c:v>Good Students</c:v>
                </c:pt>
                <c:pt idx="2">
                  <c:v>Poor Students</c:v>
                </c:pt>
                <c:pt idx="3">
                  <c:v>Top Students</c:v>
                </c:pt>
              </c:strCache>
            </c:strRef>
          </c:cat>
          <c:val>
            <c:numRef>
              <c:f>Sheet2!$C$2:$C$5</c:f>
              <c:numCache>
                <c:formatCode>0.00</c:formatCode>
                <c:ptCount val="4"/>
                <c:pt idx="0">
                  <c:v>1.427631578947369</c:v>
                </c:pt>
                <c:pt idx="1">
                  <c:v>1.575</c:v>
                </c:pt>
                <c:pt idx="2">
                  <c:v>1.7400000000000002</c:v>
                </c:pt>
                <c:pt idx="3">
                  <c:v>1.7111111111111112</c:v>
                </c:pt>
              </c:numCache>
            </c:numRef>
          </c:val>
          <c:extLst>
            <c:ext xmlns:c16="http://schemas.microsoft.com/office/drawing/2014/chart" uri="{C3380CC4-5D6E-409C-BE32-E72D297353CC}">
              <c16:uniqueId val="{00000001-38E6-4E75-8EED-231BE191D0E0}"/>
            </c:ext>
          </c:extLst>
        </c:ser>
        <c:ser>
          <c:idx val="2"/>
          <c:order val="2"/>
          <c:tx>
            <c:strRef>
              <c:f>Sheet2!$D$1</c:f>
              <c:strCache>
                <c:ptCount val="1"/>
                <c:pt idx="0">
                  <c:v>Average of Screen_Time</c:v>
                </c:pt>
              </c:strCache>
            </c:strRef>
          </c:tx>
          <c:spPr>
            <a:solidFill>
              <a:schemeClr val="accent3"/>
            </a:solidFill>
            <a:ln>
              <a:noFill/>
            </a:ln>
            <a:effectLst/>
          </c:spPr>
          <c:invertIfNegative val="0"/>
          <c:cat>
            <c:strRef>
              <c:f>Sheet2!$A$2:$A$5</c:f>
              <c:strCache>
                <c:ptCount val="4"/>
                <c:pt idx="0">
                  <c:v>Average Students</c:v>
                </c:pt>
                <c:pt idx="1">
                  <c:v>Good Students</c:v>
                </c:pt>
                <c:pt idx="2">
                  <c:v>Poor Students</c:v>
                </c:pt>
                <c:pt idx="3">
                  <c:v>Top Students</c:v>
                </c:pt>
              </c:strCache>
            </c:strRef>
          </c:cat>
          <c:val>
            <c:numRef>
              <c:f>Sheet2!$D$2:$D$5</c:f>
              <c:numCache>
                <c:formatCode>0.00</c:formatCode>
                <c:ptCount val="4"/>
                <c:pt idx="0">
                  <c:v>3.9315789473684206</c:v>
                </c:pt>
                <c:pt idx="1">
                  <c:v>3.9260416666666682</c:v>
                </c:pt>
                <c:pt idx="2">
                  <c:v>3.87</c:v>
                </c:pt>
                <c:pt idx="3">
                  <c:v>4.8666666666666663</c:v>
                </c:pt>
              </c:numCache>
            </c:numRef>
          </c:val>
          <c:extLst>
            <c:ext xmlns:c16="http://schemas.microsoft.com/office/drawing/2014/chart" uri="{C3380CC4-5D6E-409C-BE32-E72D297353CC}">
              <c16:uniqueId val="{00000002-38E6-4E75-8EED-231BE191D0E0}"/>
            </c:ext>
          </c:extLst>
        </c:ser>
        <c:dLbls>
          <c:showLegendKey val="0"/>
          <c:showVal val="0"/>
          <c:showCatName val="0"/>
          <c:showSerName val="0"/>
          <c:showPercent val="0"/>
          <c:showBubbleSize val="0"/>
        </c:dLbls>
        <c:gapWidth val="219"/>
        <c:overlap val="-27"/>
        <c:axId val="1633847456"/>
        <c:axId val="1633847872"/>
      </c:barChart>
      <c:catAx>
        <c:axId val="1633847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847872"/>
        <c:crosses val="autoZero"/>
        <c:auto val="1"/>
        <c:lblAlgn val="ctr"/>
        <c:lblOffset val="100"/>
        <c:noMultiLvlLbl val="0"/>
      </c:catAx>
      <c:valAx>
        <c:axId val="1633847872"/>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847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[student_screen_time_analysis.xlsx]Sheet2!PivotTable3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Extra</a:t>
            </a:r>
            <a:r>
              <a:rPr lang="en-US" baseline="0"/>
              <a:t> curricular activity contribution</a:t>
            </a:r>
            <a:endParaRPr lang="en-US"/>
          </a:p>
        </c:rich>
      </c:tx>
      <c:layout>
        <c:manualLayout>
          <c:xMode val="edge"/>
          <c:yMode val="edge"/>
          <c:x val="0.2288095238095238"/>
          <c:y val="9.19540229885057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ofPieChart>
        <c:ofPieType val="pie"/>
        <c:varyColors val="1"/>
        <c:ser>
          <c:idx val="0"/>
          <c:order val="0"/>
          <c:tx>
            <c:strRef>
              <c:f>Sheet2!$B$18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B6-4115-8273-DB300DFA08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B6-4115-8273-DB300DFA08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B6-4115-8273-DB300DFA08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1B6-4115-8273-DB300DFA085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1B6-4115-8273-DB300DFA0859}"/>
              </c:ext>
            </c:extLst>
          </c:dPt>
          <c:cat>
            <c:strRef>
              <c:f>Sheet2!$A$19:$A$23</c:f>
              <c:strCache>
                <c:ptCount val="4"/>
                <c:pt idx="0">
                  <c:v>Average Students</c:v>
                </c:pt>
                <c:pt idx="1">
                  <c:v>Good Students</c:v>
                </c:pt>
                <c:pt idx="2">
                  <c:v>Poor Students</c:v>
                </c:pt>
                <c:pt idx="3">
                  <c:v>Top Students</c:v>
                </c:pt>
              </c:strCache>
            </c:strRef>
          </c:cat>
          <c:val>
            <c:numRef>
              <c:f>Sheet2!$B$19:$B$23</c:f>
              <c:numCache>
                <c:formatCode>0.00</c:formatCode>
                <c:ptCount val="4"/>
                <c:pt idx="0">
                  <c:v>1.427631578947369</c:v>
                </c:pt>
                <c:pt idx="1">
                  <c:v>1.575</c:v>
                </c:pt>
                <c:pt idx="2">
                  <c:v>1.7400000000000002</c:v>
                </c:pt>
                <c:pt idx="3">
                  <c:v>1.7111111111111112</c:v>
                </c:pt>
              </c:numCache>
            </c:numRef>
          </c:val>
          <c:extLst>
            <c:ext xmlns:c16="http://schemas.microsoft.com/office/drawing/2014/chart" uri="{C3380CC4-5D6E-409C-BE32-E72D297353CC}">
              <c16:uniqueId val="{0000000A-91B6-4115-8273-DB300DFA0859}"/>
            </c:ext>
          </c:extLst>
        </c:ser>
        <c:dLbls>
          <c:dLblPos val="bestFit"/>
          <c:showLegendKey val="0"/>
          <c:showVal val="0"/>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[student_screen_time_analysis.xlsx]Sheet2!PivotTable2</c:name>
    <c:fmtId val="6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F0000"/>
                </a:solidFill>
              </a:rPr>
              <a:t>Screen</a:t>
            </a:r>
            <a:r>
              <a:rPr lang="en-US" sz="1600" b="1" baseline="0">
                <a:solidFill>
                  <a:srgbClr val="FF0000"/>
                </a:solidFill>
              </a:rPr>
              <a:t> Time Vs Scores</a:t>
            </a:r>
            <a:endParaRPr lang="en-US" sz="1600" b="1">
              <a:solidFill>
                <a:srgbClr val="FF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Sheet2!$B$10</c:f>
              <c:strCache>
                <c:ptCount val="1"/>
                <c:pt idx="0">
                  <c:v>Total</c:v>
                </c:pt>
              </c:strCache>
            </c:strRef>
          </c:tx>
          <c:spPr>
            <a:solidFill>
              <a:schemeClr val="accent1"/>
            </a:solidFill>
            <a:ln>
              <a:noFill/>
            </a:ln>
            <a:effectLst/>
            <a:sp3d/>
          </c:spPr>
          <c:invertIfNegative val="0"/>
          <c:cat>
            <c:strRef>
              <c:f>Sheet2!$A$11:$A$14</c:f>
              <c:strCache>
                <c:ptCount val="4"/>
                <c:pt idx="0">
                  <c:v>Average</c:v>
                </c:pt>
                <c:pt idx="1">
                  <c:v>High</c:v>
                </c:pt>
                <c:pt idx="2">
                  <c:v>Low</c:v>
                </c:pt>
                <c:pt idx="3">
                  <c:v>Very High </c:v>
                </c:pt>
              </c:strCache>
            </c:strRef>
          </c:cat>
          <c:val>
            <c:numRef>
              <c:f>Sheet2!$B$11:$B$14</c:f>
              <c:numCache>
                <c:formatCode>0.00</c:formatCode>
                <c:ptCount val="4"/>
                <c:pt idx="0">
                  <c:v>69.3</c:v>
                </c:pt>
                <c:pt idx="1">
                  <c:v>69.043055555555554</c:v>
                </c:pt>
                <c:pt idx="2">
                  <c:v>70.949999999999989</c:v>
                </c:pt>
                <c:pt idx="3">
                  <c:v>72.200952380952401</c:v>
                </c:pt>
              </c:numCache>
            </c:numRef>
          </c:val>
          <c:extLst>
            <c:ext xmlns:c16="http://schemas.microsoft.com/office/drawing/2014/chart" uri="{C3380CC4-5D6E-409C-BE32-E72D297353CC}">
              <c16:uniqueId val="{00000000-B602-4CB5-A38E-1A3BDA58C443}"/>
            </c:ext>
          </c:extLst>
        </c:ser>
        <c:dLbls>
          <c:showLegendKey val="0"/>
          <c:showVal val="0"/>
          <c:showCatName val="0"/>
          <c:showSerName val="0"/>
          <c:showPercent val="0"/>
          <c:showBubbleSize val="0"/>
        </c:dLbls>
        <c:gapWidth val="150"/>
        <c:shape val="box"/>
        <c:axId val="1888612512"/>
        <c:axId val="1888613760"/>
        <c:axId val="0"/>
      </c:bar3DChart>
      <c:catAx>
        <c:axId val="1888612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613760"/>
        <c:crosses val="autoZero"/>
        <c:auto val="1"/>
        <c:lblAlgn val="ctr"/>
        <c:lblOffset val="100"/>
        <c:noMultiLvlLbl val="0"/>
      </c:catAx>
      <c:valAx>
        <c:axId val="188861376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612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[student_screen_time_analysis.xlsx]Sheet2!PivotTable4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F0000"/>
                </a:solidFill>
              </a:rPr>
              <a:t>Performance</a:t>
            </a:r>
            <a:r>
              <a:rPr lang="en-US" sz="1600" b="1" baseline="0">
                <a:solidFill>
                  <a:srgbClr val="FF0000"/>
                </a:solidFill>
              </a:rPr>
              <a:t> Vs Study Time &amp; Screen Time</a:t>
            </a:r>
            <a:endParaRPr lang="en-US" sz="1600" b="1">
              <a:solidFill>
                <a:srgbClr val="FF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Sheet2!$B$27</c:f>
              <c:strCache>
                <c:ptCount val="1"/>
                <c:pt idx="0">
                  <c:v>Average of Study_Hours</c:v>
                </c:pt>
              </c:strCache>
            </c:strRef>
          </c:tx>
          <c:spPr>
            <a:solidFill>
              <a:schemeClr val="accent1"/>
            </a:solidFill>
            <a:ln>
              <a:noFill/>
            </a:ln>
            <a:effectLst/>
          </c:spPr>
          <c:invertIfNegative val="0"/>
          <c:cat>
            <c:strRef>
              <c:f>Sheet2!$A$28:$A$32</c:f>
              <c:strCache>
                <c:ptCount val="4"/>
                <c:pt idx="0">
                  <c:v>Average Students</c:v>
                </c:pt>
                <c:pt idx="1">
                  <c:v>Good Students</c:v>
                </c:pt>
                <c:pt idx="2">
                  <c:v>Poor Students</c:v>
                </c:pt>
                <c:pt idx="3">
                  <c:v>Top Students</c:v>
                </c:pt>
              </c:strCache>
            </c:strRef>
          </c:cat>
          <c:val>
            <c:numRef>
              <c:f>Sheet2!$B$28:$B$32</c:f>
              <c:numCache>
                <c:formatCode>0.00</c:formatCode>
                <c:ptCount val="4"/>
                <c:pt idx="0">
                  <c:v>2.4921052631578946</c:v>
                </c:pt>
                <c:pt idx="1">
                  <c:v>2.5302083333333325</c:v>
                </c:pt>
                <c:pt idx="2">
                  <c:v>2.8200000000000003</c:v>
                </c:pt>
                <c:pt idx="3">
                  <c:v>2.7166666666666668</c:v>
                </c:pt>
              </c:numCache>
            </c:numRef>
          </c:val>
          <c:extLst>
            <c:ext xmlns:c16="http://schemas.microsoft.com/office/drawing/2014/chart" uri="{C3380CC4-5D6E-409C-BE32-E72D297353CC}">
              <c16:uniqueId val="{00000000-B731-4A2A-96F5-6A726C37F240}"/>
            </c:ext>
          </c:extLst>
        </c:ser>
        <c:dLbls>
          <c:showLegendKey val="0"/>
          <c:showVal val="0"/>
          <c:showCatName val="0"/>
          <c:showSerName val="0"/>
          <c:showPercent val="0"/>
          <c:showBubbleSize val="0"/>
        </c:dLbls>
        <c:gapWidth val="150"/>
        <c:axId val="1889329840"/>
        <c:axId val="1889326928"/>
      </c:barChart>
      <c:lineChart>
        <c:grouping val="standard"/>
        <c:varyColors val="0"/>
        <c:ser>
          <c:idx val="1"/>
          <c:order val="1"/>
          <c:tx>
            <c:strRef>
              <c:f>Sheet2!$C$27</c:f>
              <c:strCache>
                <c:ptCount val="1"/>
                <c:pt idx="0">
                  <c:v>Average of Screen_Time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Sheet2!$A$28:$A$32</c:f>
              <c:strCache>
                <c:ptCount val="4"/>
                <c:pt idx="0">
                  <c:v>Average Students</c:v>
                </c:pt>
                <c:pt idx="1">
                  <c:v>Good Students</c:v>
                </c:pt>
                <c:pt idx="2">
                  <c:v>Poor Students</c:v>
                </c:pt>
                <c:pt idx="3">
                  <c:v>Top Students</c:v>
                </c:pt>
              </c:strCache>
            </c:strRef>
          </c:cat>
          <c:val>
            <c:numRef>
              <c:f>Sheet2!$C$28:$C$32</c:f>
              <c:numCache>
                <c:formatCode>0.00</c:formatCode>
                <c:ptCount val="4"/>
                <c:pt idx="0">
                  <c:v>3.9315789473684206</c:v>
                </c:pt>
                <c:pt idx="1">
                  <c:v>3.9260416666666682</c:v>
                </c:pt>
                <c:pt idx="2">
                  <c:v>3.87</c:v>
                </c:pt>
                <c:pt idx="3">
                  <c:v>4.8666666666666663</c:v>
                </c:pt>
              </c:numCache>
            </c:numRef>
          </c:val>
          <c:smooth val="0"/>
          <c:extLst>
            <c:ext xmlns:c16="http://schemas.microsoft.com/office/drawing/2014/chart" uri="{C3380CC4-5D6E-409C-BE32-E72D297353CC}">
              <c16:uniqueId val="{00000001-B731-4A2A-96F5-6A726C37F240}"/>
            </c:ext>
          </c:extLst>
        </c:ser>
        <c:dLbls>
          <c:showLegendKey val="0"/>
          <c:showVal val="0"/>
          <c:showCatName val="0"/>
          <c:showSerName val="0"/>
          <c:showPercent val="0"/>
          <c:showBubbleSize val="0"/>
        </c:dLbls>
        <c:marker val="1"/>
        <c:smooth val="0"/>
        <c:axId val="1889329840"/>
        <c:axId val="1889326928"/>
      </c:lineChart>
      <c:catAx>
        <c:axId val="188932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326928"/>
        <c:crosses val="autoZero"/>
        <c:auto val="1"/>
        <c:lblAlgn val="ctr"/>
        <c:lblOffset val="100"/>
        <c:noMultiLvlLbl val="0"/>
      </c:catAx>
      <c:valAx>
        <c:axId val="18893269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329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448588</xdr:colOff>
      <xdr:row>18</xdr:row>
      <xdr:rowOff>38584</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6544588" cy="34675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252412</xdr:colOff>
      <xdr:row>0</xdr:row>
      <xdr:rowOff>0</xdr:rowOff>
    </xdr:from>
    <xdr:to>
      <xdr:col>26</xdr:col>
      <xdr:colOff>290512</xdr:colOff>
      <xdr:row>14</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76200</xdr:colOff>
      <xdr:row>15</xdr:row>
      <xdr:rowOff>23811</xdr:rowOff>
    </xdr:from>
    <xdr:to>
      <xdr:col>24</xdr:col>
      <xdr:colOff>285750</xdr:colOff>
      <xdr:row>26</xdr:row>
      <xdr:rowOff>85724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152400</xdr:colOff>
      <xdr:row>26</xdr:row>
      <xdr:rowOff>109538</xdr:rowOff>
    </xdr:from>
    <xdr:to>
      <xdr:col>24</xdr:col>
      <xdr:colOff>114300</xdr:colOff>
      <xdr:row>37</xdr:row>
      <xdr:rowOff>9526</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904875</xdr:colOff>
      <xdr:row>10</xdr:row>
      <xdr:rowOff>100012</xdr:rowOff>
    </xdr:from>
    <xdr:to>
      <xdr:col>10</xdr:col>
      <xdr:colOff>276225</xdr:colOff>
      <xdr:row>24</xdr:row>
      <xdr:rowOff>176212</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895350</xdr:colOff>
      <xdr:row>24</xdr:row>
      <xdr:rowOff>0</xdr:rowOff>
    </xdr:from>
    <xdr:to>
      <xdr:col>8</xdr:col>
      <xdr:colOff>0</xdr:colOff>
      <xdr:row>37</xdr:row>
      <xdr:rowOff>47625</xdr:rowOff>
    </xdr:to>
    <mc:AlternateContent xmlns:mc="http://schemas.openxmlformats.org/markup-compatibility/2006">
      <mc:Choice xmlns:a14="http://schemas.microsoft.com/office/drawing/2010/main" Requires="a14">
        <xdr:graphicFrame macro="">
          <xdr:nvGraphicFramePr>
            <xdr:cNvPr id="8" name="Age 1"/>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dr:sp macro="" textlink="">
          <xdr:nvSpPr>
            <xdr:cNvPr id="0" name=""/>
            <xdr:cNvSpPr>
              <a:spLocks noTextEdit="1"/>
            </xdr:cNvSpPr>
          </xdr:nvSpPr>
          <xdr:spPr>
            <a:xfrm>
              <a:off x="5038725" y="4572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95249</xdr:colOff>
      <xdr:row>0</xdr:row>
      <xdr:rowOff>95250</xdr:rowOff>
    </xdr:from>
    <xdr:to>
      <xdr:col>16</xdr:col>
      <xdr:colOff>9524</xdr:colOff>
      <xdr:row>3</xdr:row>
      <xdr:rowOff>180975</xdr:rowOff>
    </xdr:to>
    <xdr:sp macro="" textlink="">
      <xdr:nvSpPr>
        <xdr:cNvPr id="2" name="TextBox 1"/>
        <xdr:cNvSpPr txBox="1"/>
      </xdr:nvSpPr>
      <xdr:spPr>
        <a:xfrm>
          <a:off x="95249" y="95250"/>
          <a:ext cx="9667875" cy="657225"/>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t>Impact of Screen Time on Student Performance</a:t>
          </a:r>
        </a:p>
      </xdr:txBody>
    </xdr:sp>
    <xdr:clientData/>
  </xdr:twoCellAnchor>
  <xdr:twoCellAnchor>
    <xdr:from>
      <xdr:col>0</xdr:col>
      <xdr:colOff>0</xdr:colOff>
      <xdr:row>4</xdr:row>
      <xdr:rowOff>47626</xdr:rowOff>
    </xdr:from>
    <xdr:to>
      <xdr:col>16</xdr:col>
      <xdr:colOff>0</xdr:colOff>
      <xdr:row>8</xdr:row>
      <xdr:rowOff>36171</xdr:rowOff>
    </xdr:to>
    <xdr:sp macro="" textlink="">
      <xdr:nvSpPr>
        <xdr:cNvPr id="3" name="Rounded Rectangle 2"/>
        <xdr:cNvSpPr/>
      </xdr:nvSpPr>
      <xdr:spPr>
        <a:xfrm>
          <a:off x="0" y="819272"/>
          <a:ext cx="9838481" cy="760190"/>
        </a:xfrm>
        <a:prstGeom prst="roundRect">
          <a:avLst/>
        </a:prstGeom>
        <a:effectLst>
          <a:glow rad="101600">
            <a:schemeClr val="accent6">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85725</xdr:colOff>
      <xdr:row>7</xdr:row>
      <xdr:rowOff>180975</xdr:rowOff>
    </xdr:from>
    <xdr:to>
      <xdr:col>8</xdr:col>
      <xdr:colOff>314325</xdr:colOff>
      <xdr:row>22</xdr:row>
      <xdr:rowOff>66675</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304801</xdr:colOff>
      <xdr:row>7</xdr:row>
      <xdr:rowOff>180975</xdr:rowOff>
    </xdr:from>
    <xdr:to>
      <xdr:col>13</xdr:col>
      <xdr:colOff>457201</xdr:colOff>
      <xdr:row>22</xdr:row>
      <xdr:rowOff>83553</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85725</xdr:colOff>
      <xdr:row>22</xdr:row>
      <xdr:rowOff>76200</xdr:rowOff>
    </xdr:from>
    <xdr:to>
      <xdr:col>8</xdr:col>
      <xdr:colOff>314325</xdr:colOff>
      <xdr:row>34</xdr:row>
      <xdr:rowOff>80963</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419100</xdr:colOff>
      <xdr:row>8</xdr:row>
      <xdr:rowOff>0</xdr:rowOff>
    </xdr:from>
    <xdr:to>
      <xdr:col>16</xdr:col>
      <xdr:colOff>16631</xdr:colOff>
      <xdr:row>20</xdr:row>
      <xdr:rowOff>142300</xdr:rowOff>
    </xdr:to>
    <mc:AlternateContent xmlns:mc="http://schemas.openxmlformats.org/markup-compatibility/2006">
      <mc:Choice xmlns:a14="http://schemas.microsoft.com/office/drawing/2010/main" Requires="a14">
        <xdr:graphicFrame macro="">
          <xdr:nvGraphicFramePr>
            <xdr:cNvPr id="5" name="Age"/>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8379279" y="1524000"/>
              <a:ext cx="1434495" cy="242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314325</xdr:colOff>
      <xdr:row>22</xdr:row>
      <xdr:rowOff>83553</xdr:rowOff>
    </xdr:from>
    <xdr:to>
      <xdr:col>16</xdr:col>
      <xdr:colOff>9525</xdr:colOff>
      <xdr:row>34</xdr:row>
      <xdr:rowOff>66675</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xdr:row>
      <xdr:rowOff>36171</xdr:rowOff>
    </xdr:from>
    <xdr:to>
      <xdr:col>4</xdr:col>
      <xdr:colOff>0</xdr:colOff>
      <xdr:row>8</xdr:row>
      <xdr:rowOff>0</xdr:rowOff>
    </xdr:to>
    <xdr:sp macro="" textlink="">
      <xdr:nvSpPr>
        <xdr:cNvPr id="8" name="TextBox 7"/>
        <xdr:cNvSpPr txBox="1"/>
      </xdr:nvSpPr>
      <xdr:spPr>
        <a:xfrm>
          <a:off x="0" y="807817"/>
          <a:ext cx="2459620" cy="735474"/>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path path="shape">
            <a:fillToRect l="50000" t="50000" r="50000" b="50000"/>
          </a:path>
          <a:tileRect/>
        </a:gradFill>
        <a:ln w="9525" cmpd="sng">
          <a:solidFill>
            <a:schemeClr val="lt1">
              <a:shade val="50000"/>
            </a:schemeClr>
          </a:solidFill>
        </a:ln>
        <a:effectLst>
          <a:outerShdw blurRad="50800" dist="38100" dir="5400000" algn="t" rotWithShape="0">
            <a:schemeClr val="tx1">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dk1"/>
              </a:solidFill>
              <a:effectLst/>
              <a:latin typeface="+mn-lt"/>
              <a:ea typeface="+mn-ea"/>
              <a:cs typeface="+mn-cs"/>
            </a:rPr>
            <a:t>Average Study_Hours</a:t>
          </a:r>
          <a:r>
            <a:rPr lang="en-US" sz="1400"/>
            <a:t> </a:t>
          </a:r>
        </a:p>
        <a:p>
          <a:pPr algn="ctr"/>
          <a:r>
            <a:rPr lang="en-US" sz="1400" b="0" i="0" u="none" strike="noStrike">
              <a:solidFill>
                <a:schemeClr val="dk1"/>
              </a:solidFill>
              <a:effectLst/>
              <a:latin typeface="+mn-lt"/>
              <a:ea typeface="+mn-ea"/>
              <a:cs typeface="+mn-cs"/>
            </a:rPr>
            <a:t>2.58</a:t>
          </a:r>
          <a:r>
            <a:rPr lang="en-US" sz="1400"/>
            <a:t> </a:t>
          </a:r>
        </a:p>
      </xdr:txBody>
    </xdr:sp>
    <xdr:clientData/>
  </xdr:twoCellAnchor>
  <xdr:twoCellAnchor>
    <xdr:from>
      <xdr:col>4</xdr:col>
      <xdr:colOff>0</xdr:colOff>
      <xdr:row>4</xdr:row>
      <xdr:rowOff>0</xdr:rowOff>
    </xdr:from>
    <xdr:to>
      <xdr:col>8</xdr:col>
      <xdr:colOff>0</xdr:colOff>
      <xdr:row>8</xdr:row>
      <xdr:rowOff>0</xdr:rowOff>
    </xdr:to>
    <xdr:sp macro="" textlink="">
      <xdr:nvSpPr>
        <xdr:cNvPr id="20" name="TextBox 19"/>
        <xdr:cNvSpPr txBox="1"/>
      </xdr:nvSpPr>
      <xdr:spPr>
        <a:xfrm>
          <a:off x="2459620" y="771646"/>
          <a:ext cx="2459621" cy="771645"/>
        </a:xfrm>
        <a:prstGeom prst="rect">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path path="shape">
            <a:fillToRect l="50000" t="50000" r="50000" b="50000"/>
          </a:path>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ysClr val="windowText" lastClr="000000"/>
              </a:solidFill>
              <a:effectLst/>
              <a:latin typeface="+mn-lt"/>
              <a:ea typeface="+mn-ea"/>
              <a:cs typeface="+mn-cs"/>
            </a:rPr>
            <a:t>Average Screen_Time</a:t>
          </a:r>
        </a:p>
        <a:p>
          <a:pPr algn="ctr"/>
          <a:r>
            <a:rPr lang="en-US" sz="1400" b="1">
              <a:solidFill>
                <a:sysClr val="windowText" lastClr="000000"/>
              </a:solidFill>
            </a:rPr>
            <a:t> </a:t>
          </a:r>
          <a:r>
            <a:rPr lang="en-US" sz="1400" b="1" i="0" u="none" strike="noStrike">
              <a:solidFill>
                <a:sysClr val="windowText" lastClr="000000"/>
              </a:solidFill>
              <a:effectLst/>
              <a:latin typeface="+mn-lt"/>
              <a:ea typeface="+mn-ea"/>
              <a:cs typeface="+mn-cs"/>
            </a:rPr>
            <a:t>4.39</a:t>
          </a:r>
          <a:r>
            <a:rPr lang="en-US" sz="1400" b="1">
              <a:solidFill>
                <a:sysClr val="windowText" lastClr="000000"/>
              </a:solidFill>
            </a:rPr>
            <a:t> </a:t>
          </a:r>
        </a:p>
      </xdr:txBody>
    </xdr:sp>
    <xdr:clientData/>
  </xdr:twoCellAnchor>
  <xdr:twoCellAnchor>
    <xdr:from>
      <xdr:col>8</xdr:col>
      <xdr:colOff>1</xdr:colOff>
      <xdr:row>4</xdr:row>
      <xdr:rowOff>0</xdr:rowOff>
    </xdr:from>
    <xdr:to>
      <xdr:col>12</xdr:col>
      <xdr:colOff>1</xdr:colOff>
      <xdr:row>8</xdr:row>
      <xdr:rowOff>0</xdr:rowOff>
    </xdr:to>
    <xdr:sp macro="" textlink="">
      <xdr:nvSpPr>
        <xdr:cNvPr id="21" name="TextBox 20"/>
        <xdr:cNvSpPr txBox="1"/>
      </xdr:nvSpPr>
      <xdr:spPr>
        <a:xfrm>
          <a:off x="4919242" y="771646"/>
          <a:ext cx="2459620" cy="771645"/>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path path="shape">
            <a:fillToRect l="50000" t="50000" r="50000" b="50000"/>
          </a:path>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dk1"/>
              </a:solidFill>
              <a:effectLst/>
              <a:latin typeface="+mn-lt"/>
              <a:ea typeface="+mn-ea"/>
              <a:cs typeface="+mn-cs"/>
            </a:rPr>
            <a:t>Average Test_Scores</a:t>
          </a:r>
          <a:r>
            <a:rPr lang="en-US" sz="1400" b="1"/>
            <a:t> </a:t>
          </a:r>
        </a:p>
        <a:p>
          <a:pPr algn="ctr"/>
          <a:r>
            <a:rPr lang="en-US" sz="1400" b="1" i="0" u="none" strike="noStrike">
              <a:solidFill>
                <a:schemeClr val="dk1"/>
              </a:solidFill>
              <a:effectLst/>
              <a:latin typeface="+mn-lt"/>
              <a:ea typeface="+mn-ea"/>
              <a:cs typeface="+mn-cs"/>
            </a:rPr>
            <a:t>70.96</a:t>
          </a:r>
          <a:r>
            <a:rPr lang="en-US" sz="1400" b="1"/>
            <a:t> </a:t>
          </a:r>
        </a:p>
      </xdr:txBody>
    </xdr:sp>
    <xdr:clientData/>
  </xdr:twoCellAnchor>
  <xdr:twoCellAnchor>
    <xdr:from>
      <xdr:col>12</xdr:col>
      <xdr:colOff>1</xdr:colOff>
      <xdr:row>4</xdr:row>
      <xdr:rowOff>-1</xdr:rowOff>
    </xdr:from>
    <xdr:to>
      <xdr:col>16</xdr:col>
      <xdr:colOff>1</xdr:colOff>
      <xdr:row>7</xdr:row>
      <xdr:rowOff>192910</xdr:rowOff>
    </xdr:to>
    <xdr:sp macro="" textlink="">
      <xdr:nvSpPr>
        <xdr:cNvPr id="22" name="TextBox 21"/>
        <xdr:cNvSpPr txBox="1"/>
      </xdr:nvSpPr>
      <xdr:spPr>
        <a:xfrm>
          <a:off x="7378862" y="771645"/>
          <a:ext cx="2459620" cy="771645"/>
        </a:xfrm>
        <a:prstGeom prst="rect">
          <a:avLst/>
        </a:prstGeom>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shape">
            <a:fillToRect l="50000" t="50000" r="50000" b="50000"/>
          </a:path>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Top Student</a:t>
          </a:r>
        </a:p>
        <a:p>
          <a:pPr algn="ctr"/>
          <a:r>
            <a:rPr lang="en-US" sz="1400" b="1"/>
            <a:t>student ID - 85</a:t>
          </a:r>
        </a:p>
      </xdr:txBody>
    </xdr:sp>
    <xdr:clientData/>
  </xdr:twoCellAnchor>
  <xdr:twoCellAnchor>
    <xdr:from>
      <xdr:col>16</xdr:col>
      <xdr:colOff>0</xdr:colOff>
      <xdr:row>0</xdr:row>
      <xdr:rowOff>0</xdr:rowOff>
    </xdr:from>
    <xdr:to>
      <xdr:col>21</xdr:col>
      <xdr:colOff>0</xdr:colOff>
      <xdr:row>34</xdr:row>
      <xdr:rowOff>95250</xdr:rowOff>
    </xdr:to>
    <xdr:sp macro="" textlink="">
      <xdr:nvSpPr>
        <xdr:cNvPr id="23" name="TextBox 22"/>
        <xdr:cNvSpPr txBox="1"/>
      </xdr:nvSpPr>
      <xdr:spPr>
        <a:xfrm>
          <a:off x="10972800" y="0"/>
          <a:ext cx="3429000" cy="6572250"/>
        </a:xfrm>
        <a:prstGeom prst="rect">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800" b="1"/>
        </a:p>
        <a:p>
          <a:pPr algn="ctr"/>
          <a:r>
            <a:rPr lang="en-US" sz="2800" b="1"/>
            <a:t>KEY INSIGHTS</a:t>
          </a:r>
        </a:p>
      </xdr:txBody>
    </xdr:sp>
    <xdr:clientData/>
  </xdr:twoCellAnchor>
  <xdr:twoCellAnchor>
    <xdr:from>
      <xdr:col>16</xdr:col>
      <xdr:colOff>0</xdr:colOff>
      <xdr:row>5</xdr:row>
      <xdr:rowOff>0</xdr:rowOff>
    </xdr:from>
    <xdr:to>
      <xdr:col>21</xdr:col>
      <xdr:colOff>0</xdr:colOff>
      <xdr:row>10</xdr:row>
      <xdr:rowOff>0</xdr:rowOff>
    </xdr:to>
    <xdr:sp macro="" textlink="">
      <xdr:nvSpPr>
        <xdr:cNvPr id="24" name="Flowchart: Alternate Process 23"/>
        <xdr:cNvSpPr/>
      </xdr:nvSpPr>
      <xdr:spPr>
        <a:xfrm>
          <a:off x="9652000" y="952500"/>
          <a:ext cx="3016250" cy="952500"/>
        </a:xfrm>
        <a:prstGeom prst="flowChartAlternateProcess">
          <a:avLst/>
        </a:prstGeom>
        <a:solidFill>
          <a:schemeClr val="accent6">
            <a:lumMod val="60000"/>
            <a:lumOff val="40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b="1">
              <a:solidFill>
                <a:sysClr val="windowText" lastClr="000000"/>
              </a:solidFill>
            </a:rPr>
            <a:t>Top Performers</a:t>
          </a:r>
          <a:r>
            <a:rPr lang="en-US" sz="1800" b="1" baseline="0">
              <a:solidFill>
                <a:sysClr val="windowText" lastClr="000000"/>
              </a:solidFill>
            </a:rPr>
            <a:t> h</a:t>
          </a:r>
          <a:r>
            <a:rPr lang="en-US" sz="1800" b="1">
              <a:solidFill>
                <a:sysClr val="windowText" lastClr="000000"/>
              </a:solidFill>
            </a:rPr>
            <a:t>ave high screen time </a:t>
          </a:r>
        </a:p>
      </xdr:txBody>
    </xdr:sp>
    <xdr:clientData/>
  </xdr:twoCellAnchor>
  <xdr:twoCellAnchor>
    <xdr:from>
      <xdr:col>16</xdr:col>
      <xdr:colOff>0</xdr:colOff>
      <xdr:row>11</xdr:row>
      <xdr:rowOff>1</xdr:rowOff>
    </xdr:from>
    <xdr:to>
      <xdr:col>21</xdr:col>
      <xdr:colOff>0</xdr:colOff>
      <xdr:row>15</xdr:row>
      <xdr:rowOff>0</xdr:rowOff>
    </xdr:to>
    <xdr:sp macro="" textlink="">
      <xdr:nvSpPr>
        <xdr:cNvPr id="26" name="Flowchart: Alternate Process 25"/>
        <xdr:cNvSpPr/>
      </xdr:nvSpPr>
      <xdr:spPr>
        <a:xfrm>
          <a:off x="9652000" y="2095501"/>
          <a:ext cx="3016250" cy="761999"/>
        </a:xfrm>
        <a:prstGeom prst="flowChartAlternateProcess">
          <a:avLst/>
        </a:prstGeom>
        <a:solidFill>
          <a:schemeClr val="accent6">
            <a:lumMod val="60000"/>
            <a:lumOff val="40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b="1">
              <a:solidFill>
                <a:sysClr val="windowText" lastClr="000000"/>
              </a:solidFill>
            </a:rPr>
            <a:t>Low</a:t>
          </a:r>
          <a:r>
            <a:rPr lang="en-US" sz="1800" b="1" baseline="0">
              <a:solidFill>
                <a:sysClr val="windowText" lastClr="000000"/>
              </a:solidFill>
            </a:rPr>
            <a:t> screen Time Students scored well</a:t>
          </a:r>
          <a:endParaRPr lang="en-US" sz="1800" b="1">
            <a:solidFill>
              <a:sysClr val="windowText" lastClr="000000"/>
            </a:solidFill>
          </a:endParaRPr>
        </a:p>
      </xdr:txBody>
    </xdr:sp>
    <xdr:clientData/>
  </xdr:twoCellAnchor>
  <xdr:twoCellAnchor>
    <xdr:from>
      <xdr:col>16</xdr:col>
      <xdr:colOff>0</xdr:colOff>
      <xdr:row>16</xdr:row>
      <xdr:rowOff>1</xdr:rowOff>
    </xdr:from>
    <xdr:to>
      <xdr:col>21</xdr:col>
      <xdr:colOff>0</xdr:colOff>
      <xdr:row>21</xdr:row>
      <xdr:rowOff>1</xdr:rowOff>
    </xdr:to>
    <xdr:sp macro="" textlink="">
      <xdr:nvSpPr>
        <xdr:cNvPr id="27" name="Flowchart: Alternate Process 26"/>
        <xdr:cNvSpPr/>
      </xdr:nvSpPr>
      <xdr:spPr>
        <a:xfrm>
          <a:off x="9652000" y="3048001"/>
          <a:ext cx="3016250" cy="952500"/>
        </a:xfrm>
        <a:prstGeom prst="flowChartAlternateProcess">
          <a:avLst/>
        </a:prstGeom>
        <a:solidFill>
          <a:schemeClr val="accent6">
            <a:lumMod val="60000"/>
            <a:lumOff val="40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b="1">
              <a:solidFill>
                <a:sysClr val="windowText" lastClr="000000"/>
              </a:solidFill>
            </a:rPr>
            <a:t>Extra cirricular Activity time is effecting performance</a:t>
          </a:r>
        </a:p>
      </xdr:txBody>
    </xdr:sp>
    <xdr:clientData/>
  </xdr:twoCellAnchor>
  <xdr:twoCellAnchor>
    <xdr:from>
      <xdr:col>16</xdr:col>
      <xdr:colOff>0</xdr:colOff>
      <xdr:row>22</xdr:row>
      <xdr:rowOff>1</xdr:rowOff>
    </xdr:from>
    <xdr:to>
      <xdr:col>21</xdr:col>
      <xdr:colOff>0</xdr:colOff>
      <xdr:row>27</xdr:row>
      <xdr:rowOff>0</xdr:rowOff>
    </xdr:to>
    <xdr:sp macro="" textlink="">
      <xdr:nvSpPr>
        <xdr:cNvPr id="28" name="Flowchart: Alternate Process 27"/>
        <xdr:cNvSpPr/>
      </xdr:nvSpPr>
      <xdr:spPr>
        <a:xfrm>
          <a:off x="9652000" y="4191001"/>
          <a:ext cx="3016250" cy="952499"/>
        </a:xfrm>
        <a:prstGeom prst="flowChartAlternateProcess">
          <a:avLst/>
        </a:prstGeom>
        <a:solidFill>
          <a:schemeClr val="accent6">
            <a:lumMod val="60000"/>
            <a:lumOff val="40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b="1">
              <a:solidFill>
                <a:sysClr val="windowText" lastClr="000000"/>
              </a:solidFill>
            </a:rPr>
            <a:t>  Smaller Age group showed better results </a:t>
          </a:r>
        </a:p>
      </xdr:txBody>
    </xdr:sp>
    <xdr:clientData/>
  </xdr:twoCellAnchor>
  <xdr:twoCellAnchor>
    <xdr:from>
      <xdr:col>16</xdr:col>
      <xdr:colOff>0</xdr:colOff>
      <xdr:row>28</xdr:row>
      <xdr:rowOff>95250</xdr:rowOff>
    </xdr:from>
    <xdr:to>
      <xdr:col>21</xdr:col>
      <xdr:colOff>0</xdr:colOff>
      <xdr:row>35</xdr:row>
      <xdr:rowOff>0</xdr:rowOff>
    </xdr:to>
    <xdr:sp macro="" textlink="">
      <xdr:nvSpPr>
        <xdr:cNvPr id="29" name="Flowchart: Alternate Process 28"/>
        <xdr:cNvSpPr/>
      </xdr:nvSpPr>
      <xdr:spPr>
        <a:xfrm>
          <a:off x="9652000" y="5429250"/>
          <a:ext cx="3016250" cy="1238250"/>
        </a:xfrm>
        <a:prstGeom prst="flowChartAlternateProcess">
          <a:avLst/>
        </a:prstGeom>
        <a:solidFill>
          <a:schemeClr val="accent6">
            <a:lumMod val="60000"/>
            <a:lumOff val="40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b="1">
              <a:solidFill>
                <a:srgbClr val="FF0000"/>
              </a:solidFill>
            </a:rPr>
            <a:t> Overall</a:t>
          </a:r>
          <a:r>
            <a:rPr lang="en-US" sz="1800" b="1" baseline="0">
              <a:solidFill>
                <a:srgbClr val="FF0000"/>
              </a:solidFill>
            </a:rPr>
            <a:t> Reduction in the Extra Activity time can increase the Scores</a:t>
          </a:r>
          <a:endParaRPr lang="en-US" sz="1800" b="1">
            <a:solidFill>
              <a:srgbClr val="FF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ARIBABU" refreshedDate="46098.63333611111" createdVersion="6" refreshedVersion="6" minRefreshableVersion="3" recordCount="200">
  <cacheSource type="worksheet">
    <worksheetSource name="student_screen_time_raw"/>
  </cacheSource>
  <cacheFields count="9">
    <cacheField name="Student_ID" numFmtId="0">
      <sharedItems containsSemiMixedTypes="0" containsString="0" containsNumber="1" containsInteger="1" minValue="1" maxValue="200" count="2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cacheField>
    <cacheField name="Age" numFmtId="0">
      <sharedItems containsSemiMixedTypes="0" containsString="0" containsNumber="1" containsInteger="1" minValue="13" maxValue="17" count="5">
        <n v="16"/>
        <n v="17"/>
        <n v="15"/>
        <n v="14"/>
        <n v="13"/>
      </sharedItems>
    </cacheField>
    <cacheField name="Study_Hours" numFmtId="0">
      <sharedItems containsSemiMixedTypes="0" containsString="0" containsNumber="1" minValue="0.2" maxValue="5.8" count="44">
        <n v="2.5"/>
        <n v="2.7"/>
        <n v="3"/>
        <n v="1.3"/>
        <n v="3.3"/>
        <n v="2.9"/>
        <n v="1.4"/>
        <n v="1.8"/>
        <n v="3.4"/>
        <n v="3.1"/>
        <n v="2.2000000000000002"/>
        <n v="2.4"/>
        <n v="3.7"/>
        <n v="2.6"/>
        <n v="1.1000000000000001"/>
        <n v="1.5"/>
        <n v="3.2"/>
        <n v="0.8"/>
        <n v="3.5"/>
        <n v="1.9"/>
        <n v="1.7"/>
        <n v="3.6"/>
        <n v="4.3"/>
        <n v="2.2999999999999998"/>
        <n v="0.6"/>
        <n v="1.2"/>
        <n v="3.8"/>
        <n v="5.6"/>
        <n v="2.8"/>
        <n v="3.9"/>
        <n v="2.1"/>
        <n v="5.3"/>
        <n v="2"/>
        <n v="0.2"/>
        <n v="4.4000000000000004"/>
        <n v="1.6"/>
        <n v="0.5"/>
        <n v="4.2"/>
        <n v="4.0999999999999996"/>
        <n v="4.7"/>
        <n v="0.4"/>
        <n v="4.5"/>
        <n v="1"/>
        <n v="5.8"/>
      </sharedItems>
    </cacheField>
    <cacheField name="Screen_Time" numFmtId="0">
      <sharedItems containsSemiMixedTypes="0" containsString="0" containsNumber="1" minValue="0" maxValue="7.9"/>
    </cacheField>
    <cacheField name="Extra_Curricular_Hours" numFmtId="0">
      <sharedItems containsSemiMixedTypes="0" containsString="0" containsNumber="1" minValue="0" maxValue="3.7"/>
    </cacheField>
    <cacheField name="Test_Scores" numFmtId="0">
      <sharedItems containsSemiMixedTypes="0" containsString="0" containsNumber="1" minValue="34.299999999999997" maxValue="100" count="158">
        <n v="75"/>
        <n v="68.099999999999994"/>
        <n v="67.900000000000006"/>
        <n v="47.2"/>
        <n v="78"/>
        <n v="71.5"/>
        <n v="88"/>
        <n v="69.3"/>
        <n v="75.7"/>
        <n v="78.3"/>
        <n v="52.5"/>
        <n v="96.2"/>
        <n v="65.7"/>
        <n v="74.900000000000006"/>
        <n v="76.400000000000006"/>
        <n v="61.9"/>
        <n v="88.5"/>
        <n v="72.7"/>
        <n v="71.400000000000006"/>
        <n v="77.599999999999994"/>
        <n v="70.099999999999994"/>
        <n v="78.8"/>
        <n v="53.2"/>
        <n v="62.5"/>
        <n v="48.6"/>
        <n v="90"/>
        <n v="89.8"/>
        <n v="76.3"/>
        <n v="59.9"/>
        <n v="93.9"/>
        <n v="64"/>
        <n v="71.599999999999994"/>
        <n v="74.5"/>
        <n v="76.8"/>
        <n v="70.8"/>
        <n v="76.7"/>
        <n v="75.8"/>
        <n v="65.599999999999994"/>
        <n v="74.599999999999994"/>
        <n v="76.5"/>
        <n v="57.1"/>
        <n v="67.3"/>
        <n v="76.099999999999994"/>
        <n v="87.1"/>
        <n v="78.2"/>
        <n v="87.7"/>
        <n v="66"/>
        <n v="72.5"/>
        <n v="78.099999999999994"/>
        <n v="46.7"/>
        <n v="51.4"/>
        <n v="80"/>
        <n v="76.900000000000006"/>
        <n v="46.6"/>
        <n v="47.1"/>
        <n v="82.1"/>
        <n v="61.2"/>
        <n v="75.099999999999994"/>
        <n v="69.900000000000006"/>
        <n v="80.5"/>
        <n v="74.8"/>
        <n v="85.8"/>
        <n v="79.7"/>
        <n v="77.2"/>
        <n v="66.5"/>
        <n v="69.5"/>
        <n v="88.4"/>
        <n v="65.900000000000006"/>
        <n v="72.599999999999994"/>
        <n v="47.6"/>
        <n v="92.6"/>
        <n v="60.7"/>
        <n v="100"/>
        <n v="71.8"/>
        <n v="44.3"/>
        <n v="66.099999999999994"/>
        <n v="83.3"/>
        <n v="85.7"/>
        <n v="58.2"/>
        <n v="63.2"/>
        <n v="63.9"/>
        <n v="72.099999999999994"/>
        <n v="78.7"/>
        <n v="60.6"/>
        <n v="72"/>
        <n v="83"/>
        <n v="63.7"/>
        <n v="65"/>
        <n v="74.2"/>
        <n v="57.7"/>
        <n v="59"/>
        <n v="75.400000000000006"/>
        <n v="56.4"/>
        <n v="84"/>
        <n v="63.1"/>
        <n v="76.2"/>
        <n v="60.8"/>
        <n v="67.5"/>
        <n v="78.400000000000006"/>
        <n v="69.599999999999994"/>
        <n v="73.099999999999994"/>
        <n v="58.1"/>
        <n v="72.8"/>
        <n v="62.8"/>
        <n v="79.099999999999994"/>
        <n v="63.3"/>
        <n v="63.4"/>
        <n v="92.8"/>
        <n v="71.099999999999994"/>
        <n v="81.3"/>
        <n v="64.2"/>
        <n v="60.9"/>
        <n v="61.3"/>
        <n v="53.9"/>
        <n v="83.5"/>
        <n v="66.7"/>
        <n v="65.5"/>
        <n v="48.8"/>
        <n v="55.7"/>
        <n v="84.7"/>
        <n v="73"/>
        <n v="81.7"/>
        <n v="80.400000000000006"/>
        <n v="60"/>
        <n v="94.3"/>
        <n v="89.5"/>
        <n v="64.400000000000006"/>
        <n v="34.299999999999997"/>
        <n v="66.400000000000006"/>
        <n v="72.400000000000006"/>
        <n v="64.3"/>
        <n v="67.8"/>
        <n v="61.7"/>
        <n v="79.2"/>
        <n v="70.599999999999994"/>
        <n v="79.5"/>
        <n v="82.2"/>
        <n v="48.3"/>
        <n v="62.3"/>
        <n v="63.8"/>
        <n v="95.7"/>
        <n v="51.2"/>
        <n v="79.8"/>
        <n v="78.599999999999994"/>
        <n v="53.1"/>
        <n v="61"/>
        <n v="72.3"/>
        <n v="74.7"/>
        <n v="83.7"/>
        <n v="79.599999999999994"/>
        <n v="77.5"/>
        <n v="80.099999999999994"/>
        <n v="64.900000000000006"/>
        <n v="69"/>
        <n v="65.2"/>
        <n v="80.2"/>
        <n v="82.5"/>
        <n v="66.3"/>
      </sharedItems>
    </cacheField>
    <cacheField name="Performance" numFmtId="0">
      <sharedItems count="4">
        <s v="Good Students"/>
        <s v="Average Students"/>
        <s v="Poor Students"/>
        <s v="Top Students"/>
      </sharedItems>
    </cacheField>
    <cacheField name="Study Efficiency" numFmtId="0">
      <sharedItems containsSemiMixedTypes="0" containsString="0" containsNumber="1" minValue="8.9" maxValue="347.5"/>
    </cacheField>
    <cacheField name="Screen time analysis" numFmtId="0">
      <sharedItems count="4">
        <s v="High"/>
        <s v="Very High "/>
        <s v="Low"/>
        <s v="Average"/>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
  <r>
    <x v="0"/>
    <x v="0"/>
    <x v="0"/>
    <n v="2.7"/>
    <n v="1.6"/>
    <x v="0"/>
    <x v="0"/>
    <n v="30"/>
    <x v="0"/>
  </r>
  <r>
    <x v="1"/>
    <x v="1"/>
    <x v="1"/>
    <n v="4"/>
    <n v="0.7"/>
    <x v="1"/>
    <x v="1"/>
    <n v="25.2"/>
    <x v="0"/>
  </r>
  <r>
    <x v="2"/>
    <x v="2"/>
    <x v="2"/>
    <n v="4.3"/>
    <n v="1.5"/>
    <x v="2"/>
    <x v="1"/>
    <n v="22.6"/>
    <x v="1"/>
  </r>
  <r>
    <x v="3"/>
    <x v="1"/>
    <x v="2"/>
    <n v="2.8"/>
    <n v="1.8"/>
    <x v="3"/>
    <x v="2"/>
    <n v="15.7"/>
    <x v="0"/>
  </r>
  <r>
    <x v="4"/>
    <x v="1"/>
    <x v="0"/>
    <n v="1.8"/>
    <n v="1.4"/>
    <x v="4"/>
    <x v="0"/>
    <n v="31.2"/>
    <x v="2"/>
  </r>
  <r>
    <x v="5"/>
    <x v="3"/>
    <x v="3"/>
    <n v="4.4000000000000004"/>
    <n v="0.4"/>
    <x v="5"/>
    <x v="0"/>
    <n v="55"/>
    <x v="1"/>
  </r>
  <r>
    <x v="6"/>
    <x v="2"/>
    <x v="4"/>
    <n v="6.7"/>
    <n v="2.9"/>
    <x v="6"/>
    <x v="3"/>
    <n v="26.7"/>
    <x v="1"/>
  </r>
  <r>
    <x v="7"/>
    <x v="2"/>
    <x v="5"/>
    <n v="4.5999999999999996"/>
    <n v="1.6"/>
    <x v="7"/>
    <x v="1"/>
    <n v="23.9"/>
    <x v="1"/>
  </r>
  <r>
    <x v="8"/>
    <x v="2"/>
    <x v="6"/>
    <n v="4.0999999999999996"/>
    <n v="0.9"/>
    <x v="8"/>
    <x v="0"/>
    <n v="54.1"/>
    <x v="1"/>
  </r>
  <r>
    <x v="9"/>
    <x v="1"/>
    <x v="7"/>
    <n v="4.0999999999999996"/>
    <n v="2.8"/>
    <x v="9"/>
    <x v="0"/>
    <n v="43.5"/>
    <x v="1"/>
  </r>
  <r>
    <x v="10"/>
    <x v="0"/>
    <x v="8"/>
    <n v="3.6"/>
    <n v="2"/>
    <x v="10"/>
    <x v="1"/>
    <n v="15.4"/>
    <x v="0"/>
  </r>
  <r>
    <x v="11"/>
    <x v="2"/>
    <x v="9"/>
    <n v="5.8"/>
    <n v="0.5"/>
    <x v="11"/>
    <x v="3"/>
    <n v="31"/>
    <x v="1"/>
  </r>
  <r>
    <x v="12"/>
    <x v="1"/>
    <x v="7"/>
    <n v="4.0999999999999996"/>
    <n v="0.7"/>
    <x v="12"/>
    <x v="1"/>
    <n v="36.5"/>
    <x v="1"/>
  </r>
  <r>
    <x v="13"/>
    <x v="3"/>
    <x v="10"/>
    <n v="2"/>
    <n v="1.3"/>
    <x v="13"/>
    <x v="0"/>
    <n v="34"/>
    <x v="2"/>
  </r>
  <r>
    <x v="14"/>
    <x v="0"/>
    <x v="11"/>
    <n v="1.6"/>
    <n v="1.7"/>
    <x v="14"/>
    <x v="0"/>
    <n v="31.8"/>
    <x v="2"/>
  </r>
  <r>
    <x v="15"/>
    <x v="3"/>
    <x v="9"/>
    <n v="4.0999999999999996"/>
    <n v="2"/>
    <x v="15"/>
    <x v="1"/>
    <n v="20"/>
    <x v="1"/>
  </r>
  <r>
    <x v="16"/>
    <x v="0"/>
    <x v="12"/>
    <n v="5.6"/>
    <n v="2.2999999999999998"/>
    <x v="16"/>
    <x v="3"/>
    <n v="23.9"/>
    <x v="1"/>
  </r>
  <r>
    <x v="17"/>
    <x v="1"/>
    <x v="13"/>
    <n v="4.4000000000000004"/>
    <n v="1.9"/>
    <x v="17"/>
    <x v="0"/>
    <n v="28"/>
    <x v="1"/>
  </r>
  <r>
    <x v="18"/>
    <x v="4"/>
    <x v="0"/>
    <n v="3.5"/>
    <n v="2.6"/>
    <x v="2"/>
    <x v="1"/>
    <n v="27.2"/>
    <x v="0"/>
  </r>
  <r>
    <x v="19"/>
    <x v="0"/>
    <x v="8"/>
    <n v="4.7"/>
    <n v="1.6"/>
    <x v="18"/>
    <x v="0"/>
    <n v="21"/>
    <x v="1"/>
  </r>
  <r>
    <x v="20"/>
    <x v="3"/>
    <x v="1"/>
    <n v="4.3"/>
    <n v="0.9"/>
    <x v="19"/>
    <x v="0"/>
    <n v="28.7"/>
    <x v="1"/>
  </r>
  <r>
    <x v="21"/>
    <x v="1"/>
    <x v="14"/>
    <n v="5.2"/>
    <n v="1.5"/>
    <x v="20"/>
    <x v="0"/>
    <n v="63.7"/>
    <x v="1"/>
  </r>
  <r>
    <x v="22"/>
    <x v="0"/>
    <x v="15"/>
    <n v="6"/>
    <n v="1.4"/>
    <x v="21"/>
    <x v="0"/>
    <n v="52.5"/>
    <x v="1"/>
  </r>
  <r>
    <x v="23"/>
    <x v="4"/>
    <x v="16"/>
    <n v="2.6"/>
    <n v="0"/>
    <x v="22"/>
    <x v="1"/>
    <n v="16.600000000000001"/>
    <x v="0"/>
  </r>
  <r>
    <x v="24"/>
    <x v="4"/>
    <x v="17"/>
    <n v="0.5"/>
    <n v="1.1000000000000001"/>
    <x v="23"/>
    <x v="1"/>
    <n v="78.099999999999994"/>
    <x v="2"/>
  </r>
  <r>
    <x v="25"/>
    <x v="2"/>
    <x v="13"/>
    <n v="3.5"/>
    <n v="1.8"/>
    <x v="24"/>
    <x v="2"/>
    <n v="18.7"/>
    <x v="0"/>
  </r>
  <r>
    <x v="26"/>
    <x v="2"/>
    <x v="18"/>
    <n v="2.5"/>
    <n v="1.2"/>
    <x v="25"/>
    <x v="3"/>
    <n v="25.7"/>
    <x v="0"/>
  </r>
  <r>
    <x v="27"/>
    <x v="3"/>
    <x v="1"/>
    <n v="5.2"/>
    <n v="1"/>
    <x v="26"/>
    <x v="3"/>
    <n v="33.299999999999997"/>
    <x v="1"/>
  </r>
  <r>
    <x v="28"/>
    <x v="0"/>
    <x v="19"/>
    <n v="2.9"/>
    <n v="2.2000000000000002"/>
    <x v="27"/>
    <x v="0"/>
    <n v="40.200000000000003"/>
    <x v="0"/>
  </r>
  <r>
    <x v="29"/>
    <x v="0"/>
    <x v="20"/>
    <n v="1.2"/>
    <n v="0.8"/>
    <x v="28"/>
    <x v="1"/>
    <n v="35.200000000000003"/>
    <x v="2"/>
  </r>
  <r>
    <x v="30"/>
    <x v="2"/>
    <x v="4"/>
    <n v="3.1"/>
    <n v="2.1"/>
    <x v="29"/>
    <x v="3"/>
    <n v="28.5"/>
    <x v="0"/>
  </r>
  <r>
    <x v="31"/>
    <x v="0"/>
    <x v="2"/>
    <n v="1.8"/>
    <n v="0.4"/>
    <x v="30"/>
    <x v="1"/>
    <n v="21.3"/>
    <x v="2"/>
  </r>
  <r>
    <x v="32"/>
    <x v="0"/>
    <x v="10"/>
    <n v="6.4"/>
    <n v="3.7"/>
    <x v="2"/>
    <x v="1"/>
    <n v="30.9"/>
    <x v="1"/>
  </r>
  <r>
    <x v="33"/>
    <x v="4"/>
    <x v="21"/>
    <n v="4.7"/>
    <n v="1.3"/>
    <x v="31"/>
    <x v="0"/>
    <n v="19.899999999999999"/>
    <x v="1"/>
  </r>
  <r>
    <x v="34"/>
    <x v="2"/>
    <x v="8"/>
    <n v="5"/>
    <n v="1.2"/>
    <x v="32"/>
    <x v="0"/>
    <n v="21.9"/>
    <x v="1"/>
  </r>
  <r>
    <x v="35"/>
    <x v="1"/>
    <x v="22"/>
    <n v="4.8"/>
    <n v="2.4"/>
    <x v="14"/>
    <x v="0"/>
    <n v="17.8"/>
    <x v="1"/>
  </r>
  <r>
    <x v="36"/>
    <x v="2"/>
    <x v="9"/>
    <n v="5.3"/>
    <n v="1.2"/>
    <x v="33"/>
    <x v="0"/>
    <n v="24.8"/>
    <x v="1"/>
  </r>
  <r>
    <x v="37"/>
    <x v="1"/>
    <x v="23"/>
    <n v="5.7"/>
    <n v="2.7"/>
    <x v="34"/>
    <x v="0"/>
    <n v="30.8"/>
    <x v="1"/>
  </r>
  <r>
    <x v="38"/>
    <x v="4"/>
    <x v="11"/>
    <n v="3.2"/>
    <n v="1.8"/>
    <x v="35"/>
    <x v="0"/>
    <n v="32"/>
    <x v="0"/>
  </r>
  <r>
    <x v="39"/>
    <x v="3"/>
    <x v="24"/>
    <n v="1.9"/>
    <n v="1.4"/>
    <x v="34"/>
    <x v="0"/>
    <n v="118"/>
    <x v="2"/>
  </r>
  <r>
    <x v="40"/>
    <x v="0"/>
    <x v="1"/>
    <n v="2.7"/>
    <n v="1.3"/>
    <x v="36"/>
    <x v="0"/>
    <n v="28.1"/>
    <x v="0"/>
  </r>
  <r>
    <x v="41"/>
    <x v="4"/>
    <x v="0"/>
    <n v="3.9"/>
    <n v="2.5"/>
    <x v="0"/>
    <x v="0"/>
    <n v="30"/>
    <x v="0"/>
  </r>
  <r>
    <x v="42"/>
    <x v="0"/>
    <x v="25"/>
    <n v="0.2"/>
    <n v="1.7"/>
    <x v="19"/>
    <x v="0"/>
    <n v="64.7"/>
    <x v="2"/>
  </r>
  <r>
    <x v="43"/>
    <x v="3"/>
    <x v="0"/>
    <n v="5.7"/>
    <n v="1.8"/>
    <x v="14"/>
    <x v="0"/>
    <n v="30.6"/>
    <x v="1"/>
  </r>
  <r>
    <x v="44"/>
    <x v="3"/>
    <x v="26"/>
    <n v="1.2"/>
    <n v="1.9"/>
    <x v="37"/>
    <x v="1"/>
    <n v="17.3"/>
    <x v="2"/>
  </r>
  <r>
    <x v="45"/>
    <x v="4"/>
    <x v="7"/>
    <n v="4.9000000000000004"/>
    <n v="1.6"/>
    <x v="38"/>
    <x v="0"/>
    <n v="41.4"/>
    <x v="1"/>
  </r>
  <r>
    <x v="46"/>
    <x v="3"/>
    <x v="15"/>
    <n v="3.7"/>
    <n v="1.9"/>
    <x v="39"/>
    <x v="0"/>
    <n v="51"/>
    <x v="0"/>
  </r>
  <r>
    <x v="47"/>
    <x v="1"/>
    <x v="21"/>
    <n v="4.4000000000000004"/>
    <n v="1.4"/>
    <x v="40"/>
    <x v="1"/>
    <n v="15.9"/>
    <x v="1"/>
  </r>
  <r>
    <x v="48"/>
    <x v="3"/>
    <x v="9"/>
    <n v="3.3"/>
    <n v="1.5"/>
    <x v="41"/>
    <x v="1"/>
    <n v="21.7"/>
    <x v="0"/>
  </r>
  <r>
    <x v="49"/>
    <x v="0"/>
    <x v="27"/>
    <n v="4.3"/>
    <n v="0.6"/>
    <x v="42"/>
    <x v="0"/>
    <n v="13.6"/>
    <x v="1"/>
  </r>
  <r>
    <x v="50"/>
    <x v="0"/>
    <x v="25"/>
    <n v="3.3"/>
    <n v="1.7"/>
    <x v="43"/>
    <x v="3"/>
    <n v="72.599999999999994"/>
    <x v="0"/>
  </r>
  <r>
    <x v="51"/>
    <x v="0"/>
    <x v="16"/>
    <n v="3.2"/>
    <n v="0.1"/>
    <x v="44"/>
    <x v="0"/>
    <n v="24.4"/>
    <x v="0"/>
  </r>
  <r>
    <x v="52"/>
    <x v="0"/>
    <x v="28"/>
    <n v="2.7"/>
    <n v="1.7"/>
    <x v="45"/>
    <x v="3"/>
    <n v="31.3"/>
    <x v="0"/>
  </r>
  <r>
    <x v="53"/>
    <x v="1"/>
    <x v="13"/>
    <n v="4.0999999999999996"/>
    <n v="1.3"/>
    <x v="46"/>
    <x v="1"/>
    <n v="25.4"/>
    <x v="1"/>
  </r>
  <r>
    <x v="54"/>
    <x v="2"/>
    <x v="8"/>
    <n v="4.5999999999999996"/>
    <n v="1.8"/>
    <x v="47"/>
    <x v="0"/>
    <n v="21.3"/>
    <x v="1"/>
  </r>
  <r>
    <x v="55"/>
    <x v="4"/>
    <x v="0"/>
    <n v="4.3"/>
    <n v="0.7"/>
    <x v="48"/>
    <x v="0"/>
    <n v="31.2"/>
    <x v="1"/>
  </r>
  <r>
    <x v="56"/>
    <x v="0"/>
    <x v="24"/>
    <n v="2.7"/>
    <n v="0"/>
    <x v="49"/>
    <x v="2"/>
    <n v="77.8"/>
    <x v="0"/>
  </r>
  <r>
    <x v="57"/>
    <x v="3"/>
    <x v="20"/>
    <n v="3.6"/>
    <n v="1.2"/>
    <x v="34"/>
    <x v="0"/>
    <n v="41.6"/>
    <x v="0"/>
  </r>
  <r>
    <x v="58"/>
    <x v="0"/>
    <x v="29"/>
    <n v="2.5"/>
    <n v="0.7"/>
    <x v="50"/>
    <x v="1"/>
    <n v="13.2"/>
    <x v="0"/>
  </r>
  <r>
    <x v="59"/>
    <x v="3"/>
    <x v="12"/>
    <n v="3.3"/>
    <n v="0.1"/>
    <x v="51"/>
    <x v="0"/>
    <n v="21.6"/>
    <x v="0"/>
  </r>
  <r>
    <x v="60"/>
    <x v="3"/>
    <x v="30"/>
    <n v="2.2000000000000002"/>
    <n v="2.1"/>
    <x v="52"/>
    <x v="0"/>
    <n v="36.6"/>
    <x v="0"/>
  </r>
  <r>
    <x v="61"/>
    <x v="0"/>
    <x v="2"/>
    <n v="6.4"/>
    <n v="2.8"/>
    <x v="53"/>
    <x v="2"/>
    <n v="15.5"/>
    <x v="1"/>
  </r>
  <r>
    <x v="62"/>
    <x v="1"/>
    <x v="31"/>
    <n v="4.0999999999999996"/>
    <n v="0.9"/>
    <x v="54"/>
    <x v="2"/>
    <n v="8.9"/>
    <x v="1"/>
  </r>
  <r>
    <x v="63"/>
    <x v="3"/>
    <x v="0"/>
    <n v="2.7"/>
    <n v="1.4"/>
    <x v="34"/>
    <x v="0"/>
    <n v="28.3"/>
    <x v="0"/>
  </r>
  <r>
    <x v="64"/>
    <x v="3"/>
    <x v="0"/>
    <n v="2"/>
    <n v="1.3"/>
    <x v="55"/>
    <x v="0"/>
    <n v="32.799999999999997"/>
    <x v="2"/>
  </r>
  <r>
    <x v="65"/>
    <x v="0"/>
    <x v="1"/>
    <n v="2.8"/>
    <n v="1"/>
    <x v="56"/>
    <x v="1"/>
    <n v="22.7"/>
    <x v="0"/>
  </r>
  <r>
    <x v="66"/>
    <x v="3"/>
    <x v="9"/>
    <n v="3.3"/>
    <n v="2"/>
    <x v="56"/>
    <x v="1"/>
    <n v="19.7"/>
    <x v="0"/>
  </r>
  <r>
    <x v="67"/>
    <x v="3"/>
    <x v="10"/>
    <n v="3.9"/>
    <n v="2.2999999999999998"/>
    <x v="57"/>
    <x v="0"/>
    <n v="34.1"/>
    <x v="0"/>
  </r>
  <r>
    <x v="68"/>
    <x v="0"/>
    <x v="9"/>
    <n v="3"/>
    <n v="0.8"/>
    <x v="58"/>
    <x v="1"/>
    <n v="22.5"/>
    <x v="0"/>
  </r>
  <r>
    <x v="69"/>
    <x v="0"/>
    <x v="24"/>
    <n v="1.6"/>
    <n v="1.5"/>
    <x v="59"/>
    <x v="0"/>
    <n v="134.19999999999999"/>
    <x v="2"/>
  </r>
  <r>
    <x v="70"/>
    <x v="4"/>
    <x v="28"/>
    <n v="1.7"/>
    <n v="2.5"/>
    <x v="60"/>
    <x v="0"/>
    <n v="26.7"/>
    <x v="2"/>
  </r>
  <r>
    <x v="71"/>
    <x v="1"/>
    <x v="13"/>
    <n v="5"/>
    <n v="2.1"/>
    <x v="61"/>
    <x v="3"/>
    <n v="33"/>
    <x v="1"/>
  </r>
  <r>
    <x v="72"/>
    <x v="1"/>
    <x v="23"/>
    <n v="3.8"/>
    <n v="2.2000000000000002"/>
    <x v="62"/>
    <x v="0"/>
    <n v="34.700000000000003"/>
    <x v="0"/>
  </r>
  <r>
    <x v="73"/>
    <x v="3"/>
    <x v="32"/>
    <n v="5"/>
    <n v="2.6"/>
    <x v="63"/>
    <x v="0"/>
    <n v="38.6"/>
    <x v="1"/>
  </r>
  <r>
    <x v="74"/>
    <x v="1"/>
    <x v="19"/>
    <n v="5.2"/>
    <n v="2.6"/>
    <x v="64"/>
    <x v="1"/>
    <n v="35"/>
    <x v="1"/>
  </r>
  <r>
    <x v="75"/>
    <x v="3"/>
    <x v="20"/>
    <n v="4.2"/>
    <n v="2.2999999999999998"/>
    <x v="12"/>
    <x v="1"/>
    <n v="38.6"/>
    <x v="1"/>
  </r>
  <r>
    <x v="76"/>
    <x v="4"/>
    <x v="33"/>
    <n v="2.2000000000000002"/>
    <n v="1.6"/>
    <x v="65"/>
    <x v="1"/>
    <n v="347.5"/>
    <x v="0"/>
  </r>
  <r>
    <x v="77"/>
    <x v="0"/>
    <x v="10"/>
    <n v="4.3"/>
    <n v="1.2"/>
    <x v="66"/>
    <x v="3"/>
    <n v="40.200000000000003"/>
    <x v="1"/>
  </r>
  <r>
    <x v="78"/>
    <x v="0"/>
    <x v="21"/>
    <n v="6.1"/>
    <n v="1.6"/>
    <x v="67"/>
    <x v="1"/>
    <n v="18.3"/>
    <x v="1"/>
  </r>
  <r>
    <x v="79"/>
    <x v="0"/>
    <x v="10"/>
    <n v="3.3"/>
    <n v="1.1000000000000001"/>
    <x v="68"/>
    <x v="0"/>
    <n v="33"/>
    <x v="0"/>
  </r>
  <r>
    <x v="80"/>
    <x v="1"/>
    <x v="9"/>
    <n v="4.5"/>
    <n v="0"/>
    <x v="69"/>
    <x v="2"/>
    <n v="15.4"/>
    <x v="1"/>
  </r>
  <r>
    <x v="81"/>
    <x v="4"/>
    <x v="6"/>
    <n v="4"/>
    <n v="1.3"/>
    <x v="33"/>
    <x v="0"/>
    <n v="54.9"/>
    <x v="0"/>
  </r>
  <r>
    <x v="82"/>
    <x v="1"/>
    <x v="25"/>
    <n v="6.1"/>
    <n v="1.8"/>
    <x v="70"/>
    <x v="3"/>
    <n v="77.2"/>
    <x v="1"/>
  </r>
  <r>
    <x v="83"/>
    <x v="1"/>
    <x v="20"/>
    <n v="3"/>
    <n v="1"/>
    <x v="71"/>
    <x v="1"/>
    <n v="35.700000000000003"/>
    <x v="0"/>
  </r>
  <r>
    <x v="84"/>
    <x v="4"/>
    <x v="15"/>
    <n v="5.7"/>
    <n v="1.3"/>
    <x v="72"/>
    <x v="3"/>
    <n v="66.7"/>
    <x v="1"/>
  </r>
  <r>
    <x v="85"/>
    <x v="4"/>
    <x v="3"/>
    <n v="3.4"/>
    <n v="1.4"/>
    <x v="73"/>
    <x v="0"/>
    <n v="55.2"/>
    <x v="0"/>
  </r>
  <r>
    <x v="86"/>
    <x v="4"/>
    <x v="5"/>
    <n v="3"/>
    <n v="2.6"/>
    <x v="74"/>
    <x v="2"/>
    <n v="15.3"/>
    <x v="0"/>
  </r>
  <r>
    <x v="87"/>
    <x v="4"/>
    <x v="22"/>
    <n v="4.2"/>
    <n v="1.2"/>
    <x v="75"/>
    <x v="1"/>
    <n v="15.4"/>
    <x v="1"/>
  </r>
  <r>
    <x v="88"/>
    <x v="0"/>
    <x v="7"/>
    <n v="4.5"/>
    <n v="2.6"/>
    <x v="76"/>
    <x v="0"/>
    <n v="46.3"/>
    <x v="1"/>
  </r>
  <r>
    <x v="89"/>
    <x v="2"/>
    <x v="0"/>
    <n v="6.9"/>
    <n v="0"/>
    <x v="25"/>
    <x v="3"/>
    <n v="36"/>
    <x v="1"/>
  </r>
  <r>
    <x v="90"/>
    <x v="2"/>
    <x v="16"/>
    <n v="4.5"/>
    <n v="2.6"/>
    <x v="63"/>
    <x v="0"/>
    <n v="24.1"/>
    <x v="1"/>
  </r>
  <r>
    <x v="91"/>
    <x v="4"/>
    <x v="14"/>
    <n v="4.3"/>
    <n v="2.5"/>
    <x v="77"/>
    <x v="3"/>
    <n v="77.900000000000006"/>
    <x v="1"/>
  </r>
  <r>
    <x v="92"/>
    <x v="2"/>
    <x v="3"/>
    <n v="6.4"/>
    <n v="2.2000000000000002"/>
    <x v="78"/>
    <x v="1"/>
    <n v="44.8"/>
    <x v="1"/>
  </r>
  <r>
    <x v="93"/>
    <x v="2"/>
    <x v="2"/>
    <n v="4.9000000000000004"/>
    <n v="0"/>
    <x v="79"/>
    <x v="1"/>
    <n v="21.1"/>
    <x v="1"/>
  </r>
  <r>
    <x v="94"/>
    <x v="4"/>
    <x v="23"/>
    <n v="3"/>
    <n v="2.2999999999999998"/>
    <x v="22"/>
    <x v="1"/>
    <n v="23.1"/>
    <x v="0"/>
  </r>
  <r>
    <x v="95"/>
    <x v="2"/>
    <x v="7"/>
    <n v="6"/>
    <n v="1.5"/>
    <x v="80"/>
    <x v="1"/>
    <n v="35.5"/>
    <x v="1"/>
  </r>
  <r>
    <x v="96"/>
    <x v="1"/>
    <x v="13"/>
    <n v="2.9"/>
    <n v="0"/>
    <x v="19"/>
    <x v="0"/>
    <n v="29.8"/>
    <x v="0"/>
  </r>
  <r>
    <x v="97"/>
    <x v="3"/>
    <x v="30"/>
    <n v="3"/>
    <n v="2.5"/>
    <x v="81"/>
    <x v="0"/>
    <n v="34.299999999999997"/>
    <x v="0"/>
  </r>
  <r>
    <x v="98"/>
    <x v="3"/>
    <x v="34"/>
    <n v="2.7"/>
    <n v="2.7"/>
    <x v="82"/>
    <x v="0"/>
    <n v="17.899999999999999"/>
    <x v="0"/>
  </r>
  <r>
    <x v="99"/>
    <x v="4"/>
    <x v="7"/>
    <n v="2.6"/>
    <n v="0"/>
    <x v="83"/>
    <x v="1"/>
    <n v="33.700000000000003"/>
    <x v="0"/>
  </r>
  <r>
    <x v="100"/>
    <x v="0"/>
    <x v="35"/>
    <n v="4.5"/>
    <n v="1.6"/>
    <x v="56"/>
    <x v="1"/>
    <n v="38.200000000000003"/>
    <x v="1"/>
  </r>
  <r>
    <x v="101"/>
    <x v="4"/>
    <x v="32"/>
    <n v="3.6"/>
    <n v="2.6"/>
    <x v="84"/>
    <x v="0"/>
    <n v="36"/>
    <x v="0"/>
  </r>
  <r>
    <x v="102"/>
    <x v="0"/>
    <x v="30"/>
    <n v="0"/>
    <n v="2.5"/>
    <x v="30"/>
    <x v="1"/>
    <n v="30.5"/>
    <x v="2"/>
  </r>
  <r>
    <x v="103"/>
    <x v="3"/>
    <x v="0"/>
    <n v="3.6"/>
    <n v="2.2000000000000002"/>
    <x v="85"/>
    <x v="0"/>
    <n v="33.200000000000003"/>
    <x v="0"/>
  </r>
  <r>
    <x v="104"/>
    <x v="4"/>
    <x v="36"/>
    <n v="3.2"/>
    <n v="0"/>
    <x v="86"/>
    <x v="1"/>
    <n v="127.4"/>
    <x v="0"/>
  </r>
  <r>
    <x v="105"/>
    <x v="1"/>
    <x v="5"/>
    <n v="5.3"/>
    <n v="2.1"/>
    <x v="87"/>
    <x v="1"/>
    <n v="22.4"/>
    <x v="1"/>
  </r>
  <r>
    <x v="106"/>
    <x v="2"/>
    <x v="32"/>
    <n v="3.2"/>
    <n v="1.3"/>
    <x v="88"/>
    <x v="0"/>
    <n v="37.1"/>
    <x v="0"/>
  </r>
  <r>
    <x v="107"/>
    <x v="0"/>
    <x v="4"/>
    <n v="7.8"/>
    <n v="2.2999999999999998"/>
    <x v="75"/>
    <x v="1"/>
    <n v="20"/>
    <x v="1"/>
  </r>
  <r>
    <x v="108"/>
    <x v="2"/>
    <x v="0"/>
    <n v="6.1"/>
    <n v="1.7"/>
    <x v="89"/>
    <x v="1"/>
    <n v="23.1"/>
    <x v="1"/>
  </r>
  <r>
    <x v="109"/>
    <x v="2"/>
    <x v="2"/>
    <n v="3.4"/>
    <n v="1.5"/>
    <x v="90"/>
    <x v="1"/>
    <n v="19.7"/>
    <x v="0"/>
  </r>
  <r>
    <x v="110"/>
    <x v="4"/>
    <x v="30"/>
    <n v="5.7"/>
    <n v="2"/>
    <x v="91"/>
    <x v="0"/>
    <n v="35.9"/>
    <x v="1"/>
  </r>
  <r>
    <x v="111"/>
    <x v="2"/>
    <x v="5"/>
    <n v="4.0999999999999996"/>
    <n v="1.4"/>
    <x v="92"/>
    <x v="1"/>
    <n v="19.399999999999999"/>
    <x v="1"/>
  </r>
  <r>
    <x v="112"/>
    <x v="1"/>
    <x v="37"/>
    <n v="4.4000000000000004"/>
    <n v="1.5"/>
    <x v="93"/>
    <x v="0"/>
    <n v="20"/>
    <x v="1"/>
  </r>
  <r>
    <x v="113"/>
    <x v="2"/>
    <x v="7"/>
    <n v="5.2"/>
    <n v="1.1000000000000001"/>
    <x v="94"/>
    <x v="1"/>
    <n v="35.1"/>
    <x v="1"/>
  </r>
  <r>
    <x v="114"/>
    <x v="4"/>
    <x v="11"/>
    <n v="4.0999999999999996"/>
    <n v="0.2"/>
    <x v="95"/>
    <x v="0"/>
    <n v="31.8"/>
    <x v="1"/>
  </r>
  <r>
    <x v="115"/>
    <x v="1"/>
    <x v="32"/>
    <n v="4.4000000000000004"/>
    <n v="2"/>
    <x v="86"/>
    <x v="1"/>
    <n v="31.8"/>
    <x v="1"/>
  </r>
  <r>
    <x v="116"/>
    <x v="3"/>
    <x v="38"/>
    <n v="5.2"/>
    <n v="0.9"/>
    <x v="96"/>
    <x v="1"/>
    <n v="14.8"/>
    <x v="1"/>
  </r>
  <r>
    <x v="117"/>
    <x v="2"/>
    <x v="30"/>
    <n v="7.1"/>
    <n v="1.3"/>
    <x v="47"/>
    <x v="0"/>
    <n v="34.5"/>
    <x v="1"/>
  </r>
  <r>
    <x v="118"/>
    <x v="4"/>
    <x v="7"/>
    <n v="4.4000000000000004"/>
    <n v="1.7"/>
    <x v="59"/>
    <x v="0"/>
    <n v="44.7"/>
    <x v="1"/>
  </r>
  <r>
    <x v="119"/>
    <x v="3"/>
    <x v="19"/>
    <n v="3.3"/>
    <n v="0"/>
    <x v="97"/>
    <x v="1"/>
    <n v="35.5"/>
    <x v="0"/>
  </r>
  <r>
    <x v="120"/>
    <x v="3"/>
    <x v="11"/>
    <n v="1"/>
    <n v="0"/>
    <x v="7"/>
    <x v="1"/>
    <n v="28.9"/>
    <x v="3"/>
  </r>
  <r>
    <x v="121"/>
    <x v="0"/>
    <x v="20"/>
    <n v="6.9"/>
    <n v="1.3"/>
    <x v="48"/>
    <x v="0"/>
    <n v="45.9"/>
    <x v="1"/>
  </r>
  <r>
    <x v="122"/>
    <x v="1"/>
    <x v="30"/>
    <n v="3.6"/>
    <n v="1.9"/>
    <x v="98"/>
    <x v="0"/>
    <n v="37.299999999999997"/>
    <x v="0"/>
  </r>
  <r>
    <x v="123"/>
    <x v="2"/>
    <x v="1"/>
    <n v="4.8"/>
    <n v="2.1"/>
    <x v="99"/>
    <x v="1"/>
    <n v="25.8"/>
    <x v="1"/>
  </r>
  <r>
    <x v="124"/>
    <x v="4"/>
    <x v="11"/>
    <n v="6.9"/>
    <n v="0.2"/>
    <x v="37"/>
    <x v="1"/>
    <n v="27.3"/>
    <x v="1"/>
  </r>
  <r>
    <x v="125"/>
    <x v="0"/>
    <x v="4"/>
    <n v="4.3"/>
    <n v="2"/>
    <x v="34"/>
    <x v="0"/>
    <n v="21.5"/>
    <x v="1"/>
  </r>
  <r>
    <x v="126"/>
    <x v="1"/>
    <x v="10"/>
    <n v="3.7"/>
    <n v="1.3"/>
    <x v="1"/>
    <x v="1"/>
    <n v="31"/>
    <x v="0"/>
  </r>
  <r>
    <x v="127"/>
    <x v="0"/>
    <x v="23"/>
    <n v="6.1"/>
    <n v="0.8"/>
    <x v="100"/>
    <x v="0"/>
    <n v="31.8"/>
    <x v="1"/>
  </r>
  <r>
    <x v="128"/>
    <x v="1"/>
    <x v="28"/>
    <n v="4.7"/>
    <n v="1"/>
    <x v="101"/>
    <x v="1"/>
    <n v="20.8"/>
    <x v="1"/>
  </r>
  <r>
    <x v="129"/>
    <x v="1"/>
    <x v="39"/>
    <n v="4.9000000000000004"/>
    <n v="2.1"/>
    <x v="102"/>
    <x v="0"/>
    <n v="15.5"/>
    <x v="1"/>
  </r>
  <r>
    <x v="130"/>
    <x v="2"/>
    <x v="20"/>
    <n v="1.7"/>
    <n v="1.7"/>
    <x v="103"/>
    <x v="1"/>
    <n v="36.9"/>
    <x v="2"/>
  </r>
  <r>
    <x v="131"/>
    <x v="1"/>
    <x v="34"/>
    <n v="5.8"/>
    <n v="1.5"/>
    <x v="104"/>
    <x v="0"/>
    <n v="18"/>
    <x v="1"/>
  </r>
  <r>
    <x v="132"/>
    <x v="0"/>
    <x v="3"/>
    <n v="4.5999999999999996"/>
    <n v="1.7"/>
    <x v="105"/>
    <x v="1"/>
    <n v="48.7"/>
    <x v="1"/>
  </r>
  <r>
    <x v="133"/>
    <x v="1"/>
    <x v="1"/>
    <n v="1.9"/>
    <n v="2.2000000000000002"/>
    <x v="106"/>
    <x v="1"/>
    <n v="23.5"/>
    <x v="2"/>
  </r>
  <r>
    <x v="134"/>
    <x v="2"/>
    <x v="0"/>
    <n v="4.7"/>
    <n v="1.4"/>
    <x v="32"/>
    <x v="0"/>
    <n v="29.8"/>
    <x v="1"/>
  </r>
  <r>
    <x v="135"/>
    <x v="2"/>
    <x v="20"/>
    <n v="0.9"/>
    <n v="1.5"/>
    <x v="20"/>
    <x v="0"/>
    <n v="41.2"/>
    <x v="2"/>
  </r>
  <r>
    <x v="136"/>
    <x v="0"/>
    <x v="16"/>
    <n v="7.5"/>
    <n v="2.4"/>
    <x v="107"/>
    <x v="3"/>
    <n v="29"/>
    <x v="1"/>
  </r>
  <r>
    <x v="137"/>
    <x v="3"/>
    <x v="9"/>
    <n v="2.2999999999999998"/>
    <n v="1.2"/>
    <x v="34"/>
    <x v="0"/>
    <n v="22.8"/>
    <x v="0"/>
  </r>
  <r>
    <x v="138"/>
    <x v="3"/>
    <x v="32"/>
    <n v="6.4"/>
    <n v="2"/>
    <x v="108"/>
    <x v="0"/>
    <n v="35.6"/>
    <x v="1"/>
  </r>
  <r>
    <x v="139"/>
    <x v="1"/>
    <x v="40"/>
    <n v="2.8"/>
    <n v="1.1000000000000001"/>
    <x v="109"/>
    <x v="0"/>
    <n v="203.2"/>
    <x v="0"/>
  </r>
  <r>
    <x v="140"/>
    <x v="4"/>
    <x v="30"/>
    <n v="4.8"/>
    <n v="1.2"/>
    <x v="110"/>
    <x v="1"/>
    <n v="30.6"/>
    <x v="1"/>
  </r>
  <r>
    <x v="141"/>
    <x v="1"/>
    <x v="13"/>
    <n v="2.6"/>
    <n v="1.4"/>
    <x v="111"/>
    <x v="1"/>
    <n v="23.4"/>
    <x v="0"/>
  </r>
  <r>
    <x v="142"/>
    <x v="0"/>
    <x v="0"/>
    <n v="5.5"/>
    <n v="1.9"/>
    <x v="112"/>
    <x v="1"/>
    <n v="24.5"/>
    <x v="1"/>
  </r>
  <r>
    <x v="143"/>
    <x v="0"/>
    <x v="4"/>
    <n v="3.6"/>
    <n v="2.5"/>
    <x v="113"/>
    <x v="1"/>
    <n v="16.3"/>
    <x v="0"/>
  </r>
  <r>
    <x v="144"/>
    <x v="0"/>
    <x v="34"/>
    <n v="4.7"/>
    <n v="1.6"/>
    <x v="114"/>
    <x v="0"/>
    <n v="19"/>
    <x v="1"/>
  </r>
  <r>
    <x v="145"/>
    <x v="0"/>
    <x v="5"/>
    <n v="4"/>
    <n v="0.3"/>
    <x v="115"/>
    <x v="1"/>
    <n v="23"/>
    <x v="0"/>
  </r>
  <r>
    <x v="146"/>
    <x v="0"/>
    <x v="9"/>
    <n v="2"/>
    <n v="2"/>
    <x v="116"/>
    <x v="1"/>
    <n v="21.1"/>
    <x v="2"/>
  </r>
  <r>
    <x v="147"/>
    <x v="2"/>
    <x v="13"/>
    <n v="4.8"/>
    <n v="3.5"/>
    <x v="117"/>
    <x v="2"/>
    <n v="18.8"/>
    <x v="1"/>
  </r>
  <r>
    <x v="148"/>
    <x v="3"/>
    <x v="12"/>
    <n v="3.2"/>
    <n v="1.6"/>
    <x v="118"/>
    <x v="1"/>
    <n v="15.1"/>
    <x v="0"/>
  </r>
  <r>
    <x v="149"/>
    <x v="0"/>
    <x v="2"/>
    <n v="5.6"/>
    <n v="0.1"/>
    <x v="119"/>
    <x v="0"/>
    <n v="28.2"/>
    <x v="1"/>
  </r>
  <r>
    <x v="150"/>
    <x v="4"/>
    <x v="16"/>
    <n v="3.6"/>
    <n v="1.6"/>
    <x v="120"/>
    <x v="0"/>
    <n v="22.8"/>
    <x v="0"/>
  </r>
  <r>
    <x v="151"/>
    <x v="4"/>
    <x v="22"/>
    <n v="3.9"/>
    <n v="1.5"/>
    <x v="121"/>
    <x v="0"/>
    <n v="19"/>
    <x v="0"/>
  </r>
  <r>
    <x v="152"/>
    <x v="4"/>
    <x v="1"/>
    <n v="6.5"/>
    <n v="1.4"/>
    <x v="122"/>
    <x v="0"/>
    <n v="29.8"/>
    <x v="1"/>
  </r>
  <r>
    <x v="153"/>
    <x v="4"/>
    <x v="10"/>
    <n v="7.6"/>
    <n v="2.2999999999999998"/>
    <x v="123"/>
    <x v="1"/>
    <n v="27.3"/>
    <x v="1"/>
  </r>
  <r>
    <x v="154"/>
    <x v="2"/>
    <x v="5"/>
    <n v="5.2"/>
    <n v="2.6"/>
    <x v="124"/>
    <x v="3"/>
    <n v="32.5"/>
    <x v="1"/>
  </r>
  <r>
    <x v="155"/>
    <x v="4"/>
    <x v="21"/>
    <n v="3.6"/>
    <n v="2"/>
    <x v="125"/>
    <x v="3"/>
    <n v="24.9"/>
    <x v="0"/>
  </r>
  <r>
    <x v="156"/>
    <x v="0"/>
    <x v="2"/>
    <n v="3.4"/>
    <n v="1.4"/>
    <x v="126"/>
    <x v="1"/>
    <n v="21.5"/>
    <x v="0"/>
  </r>
  <r>
    <x v="157"/>
    <x v="1"/>
    <x v="21"/>
    <n v="2.8"/>
    <n v="2.4"/>
    <x v="127"/>
    <x v="2"/>
    <n v="9.5"/>
    <x v="0"/>
  </r>
  <r>
    <x v="158"/>
    <x v="4"/>
    <x v="7"/>
    <n v="3.1"/>
    <n v="0.3"/>
    <x v="128"/>
    <x v="1"/>
    <n v="36.9"/>
    <x v="0"/>
  </r>
  <r>
    <x v="159"/>
    <x v="2"/>
    <x v="35"/>
    <n v="3.6"/>
    <n v="0.9"/>
    <x v="129"/>
    <x v="0"/>
    <n v="45.2"/>
    <x v="0"/>
  </r>
  <r>
    <x v="160"/>
    <x v="2"/>
    <x v="32"/>
    <n v="6.9"/>
    <n v="1"/>
    <x v="130"/>
    <x v="1"/>
    <n v="32.200000000000003"/>
    <x v="1"/>
  </r>
  <r>
    <x v="161"/>
    <x v="4"/>
    <x v="25"/>
    <n v="3.7"/>
    <n v="1.5"/>
    <x v="131"/>
    <x v="1"/>
    <n v="56.5"/>
    <x v="0"/>
  </r>
  <r>
    <x v="162"/>
    <x v="1"/>
    <x v="13"/>
    <n v="2.2000000000000002"/>
    <n v="1.9"/>
    <x v="132"/>
    <x v="1"/>
    <n v="23.7"/>
    <x v="0"/>
  </r>
  <r>
    <x v="163"/>
    <x v="4"/>
    <x v="30"/>
    <n v="4.0999999999999996"/>
    <n v="1.3"/>
    <x v="133"/>
    <x v="0"/>
    <n v="37.700000000000003"/>
    <x v="1"/>
  </r>
  <r>
    <x v="164"/>
    <x v="2"/>
    <x v="12"/>
    <n v="4.3"/>
    <n v="0.8"/>
    <x v="134"/>
    <x v="0"/>
    <n v="19.100000000000001"/>
    <x v="1"/>
  </r>
  <r>
    <x v="165"/>
    <x v="3"/>
    <x v="25"/>
    <n v="4.0999999999999996"/>
    <n v="2.2999999999999998"/>
    <x v="135"/>
    <x v="0"/>
    <n v="66.2"/>
    <x v="1"/>
  </r>
  <r>
    <x v="166"/>
    <x v="0"/>
    <x v="38"/>
    <n v="5.2"/>
    <n v="1.3"/>
    <x v="136"/>
    <x v="0"/>
    <n v="20"/>
    <x v="1"/>
  </r>
  <r>
    <x v="167"/>
    <x v="2"/>
    <x v="15"/>
    <n v="4.0999999999999996"/>
    <n v="1.6"/>
    <x v="137"/>
    <x v="2"/>
    <n v="32.200000000000003"/>
    <x v="1"/>
  </r>
  <r>
    <x v="168"/>
    <x v="4"/>
    <x v="3"/>
    <n v="5.2"/>
    <n v="1.9"/>
    <x v="138"/>
    <x v="1"/>
    <n v="47.9"/>
    <x v="1"/>
  </r>
  <r>
    <x v="169"/>
    <x v="0"/>
    <x v="20"/>
    <n v="2.8"/>
    <n v="1.5"/>
    <x v="139"/>
    <x v="1"/>
    <n v="37.5"/>
    <x v="0"/>
  </r>
  <r>
    <x v="170"/>
    <x v="4"/>
    <x v="41"/>
    <n v="4.0999999999999996"/>
    <n v="1.5"/>
    <x v="140"/>
    <x v="3"/>
    <n v="21.3"/>
    <x v="1"/>
  </r>
  <r>
    <x v="171"/>
    <x v="4"/>
    <x v="0"/>
    <n v="4.4000000000000004"/>
    <n v="2.2999999999999998"/>
    <x v="5"/>
    <x v="0"/>
    <n v="28.6"/>
    <x v="1"/>
  </r>
  <r>
    <x v="172"/>
    <x v="3"/>
    <x v="2"/>
    <n v="4.5999999999999996"/>
    <n v="1.6"/>
    <x v="34"/>
    <x v="0"/>
    <n v="23.6"/>
    <x v="1"/>
  </r>
  <r>
    <x v="173"/>
    <x v="0"/>
    <x v="23"/>
    <n v="2.8"/>
    <n v="2.2000000000000002"/>
    <x v="141"/>
    <x v="1"/>
    <n v="22.3"/>
    <x v="0"/>
  </r>
  <r>
    <x v="174"/>
    <x v="0"/>
    <x v="11"/>
    <n v="4.7"/>
    <n v="1.9"/>
    <x v="18"/>
    <x v="0"/>
    <n v="29.8"/>
    <x v="1"/>
  </r>
  <r>
    <x v="175"/>
    <x v="3"/>
    <x v="32"/>
    <n v="5"/>
    <n v="3.1"/>
    <x v="142"/>
    <x v="0"/>
    <n v="39.9"/>
    <x v="1"/>
  </r>
  <r>
    <x v="176"/>
    <x v="2"/>
    <x v="13"/>
    <n v="2.2000000000000002"/>
    <n v="1.8"/>
    <x v="143"/>
    <x v="0"/>
    <n v="30.2"/>
    <x v="0"/>
  </r>
  <r>
    <x v="177"/>
    <x v="4"/>
    <x v="2"/>
    <n v="1.5"/>
    <n v="2"/>
    <x v="95"/>
    <x v="0"/>
    <n v="25.4"/>
    <x v="2"/>
  </r>
  <r>
    <x v="178"/>
    <x v="1"/>
    <x v="37"/>
    <n v="4.4000000000000004"/>
    <n v="2.4"/>
    <x v="20"/>
    <x v="0"/>
    <n v="16.7"/>
    <x v="1"/>
  </r>
  <r>
    <x v="179"/>
    <x v="4"/>
    <x v="24"/>
    <n v="3.3"/>
    <n v="1.6"/>
    <x v="134"/>
    <x v="0"/>
    <n v="117.7"/>
    <x v="0"/>
  </r>
  <r>
    <x v="180"/>
    <x v="4"/>
    <x v="38"/>
    <n v="4.4000000000000004"/>
    <n v="1"/>
    <x v="144"/>
    <x v="1"/>
    <n v="13"/>
    <x v="1"/>
  </r>
  <r>
    <x v="181"/>
    <x v="2"/>
    <x v="2"/>
    <n v="2.1"/>
    <n v="1.1000000000000001"/>
    <x v="145"/>
    <x v="1"/>
    <n v="20.3"/>
    <x v="0"/>
  </r>
  <r>
    <x v="182"/>
    <x v="4"/>
    <x v="30"/>
    <n v="1.7"/>
    <n v="1.1000000000000001"/>
    <x v="146"/>
    <x v="0"/>
    <n v="34.4"/>
    <x v="2"/>
  </r>
  <r>
    <x v="183"/>
    <x v="3"/>
    <x v="32"/>
    <n v="4.3"/>
    <n v="0.7"/>
    <x v="103"/>
    <x v="1"/>
    <n v="31.4"/>
    <x v="1"/>
  </r>
  <r>
    <x v="184"/>
    <x v="3"/>
    <x v="18"/>
    <n v="3.5"/>
    <n v="1.8"/>
    <x v="52"/>
    <x v="0"/>
    <n v="22"/>
    <x v="0"/>
  </r>
  <r>
    <x v="185"/>
    <x v="0"/>
    <x v="1"/>
    <n v="4.0999999999999996"/>
    <n v="1"/>
    <x v="147"/>
    <x v="0"/>
    <n v="27.7"/>
    <x v="1"/>
  </r>
  <r>
    <x v="186"/>
    <x v="1"/>
    <x v="42"/>
    <n v="6"/>
    <n v="1.7"/>
    <x v="148"/>
    <x v="0"/>
    <n v="83.7"/>
    <x v="1"/>
  </r>
  <r>
    <x v="187"/>
    <x v="4"/>
    <x v="5"/>
    <n v="2"/>
    <n v="1.4"/>
    <x v="149"/>
    <x v="0"/>
    <n v="27.4"/>
    <x v="2"/>
  </r>
  <r>
    <x v="188"/>
    <x v="4"/>
    <x v="21"/>
    <n v="7.9"/>
    <n v="1.5"/>
    <x v="146"/>
    <x v="0"/>
    <n v="20.100000000000001"/>
    <x v="1"/>
  </r>
  <r>
    <x v="189"/>
    <x v="2"/>
    <x v="8"/>
    <n v="3.1"/>
    <n v="1.9"/>
    <x v="150"/>
    <x v="0"/>
    <n v="22.8"/>
    <x v="0"/>
  </r>
  <r>
    <x v="190"/>
    <x v="3"/>
    <x v="19"/>
    <n v="4.5999999999999996"/>
    <n v="1.1000000000000001"/>
    <x v="151"/>
    <x v="0"/>
    <n v="42.2"/>
    <x v="1"/>
  </r>
  <r>
    <x v="191"/>
    <x v="1"/>
    <x v="25"/>
    <n v="6.5"/>
    <n v="2"/>
    <x v="152"/>
    <x v="1"/>
    <n v="54.1"/>
    <x v="1"/>
  </r>
  <r>
    <x v="192"/>
    <x v="0"/>
    <x v="10"/>
    <n v="6.2"/>
    <n v="2.8"/>
    <x v="115"/>
    <x v="1"/>
    <n v="30.3"/>
    <x v="1"/>
  </r>
  <r>
    <x v="193"/>
    <x v="3"/>
    <x v="43"/>
    <n v="7"/>
    <n v="1.8"/>
    <x v="153"/>
    <x v="1"/>
    <n v="11.9"/>
    <x v="1"/>
  </r>
  <r>
    <x v="194"/>
    <x v="0"/>
    <x v="42"/>
    <n v="1.7"/>
    <n v="0.9"/>
    <x v="154"/>
    <x v="1"/>
    <n v="65.2"/>
    <x v="2"/>
  </r>
  <r>
    <x v="195"/>
    <x v="2"/>
    <x v="20"/>
    <n v="2.2999999999999998"/>
    <n v="1"/>
    <x v="155"/>
    <x v="0"/>
    <n v="47.2"/>
    <x v="0"/>
  </r>
  <r>
    <x v="196"/>
    <x v="2"/>
    <x v="5"/>
    <n v="4.3"/>
    <n v="1.3"/>
    <x v="86"/>
    <x v="1"/>
    <n v="22"/>
    <x v="1"/>
  </r>
  <r>
    <x v="197"/>
    <x v="4"/>
    <x v="11"/>
    <n v="5.3"/>
    <n v="1"/>
    <x v="156"/>
    <x v="0"/>
    <n v="34.4"/>
    <x v="1"/>
  </r>
  <r>
    <x v="198"/>
    <x v="1"/>
    <x v="23"/>
    <n v="4"/>
    <n v="0.7"/>
    <x v="157"/>
    <x v="1"/>
    <n v="28.8"/>
    <x v="0"/>
  </r>
  <r>
    <x v="199"/>
    <x v="0"/>
    <x v="41"/>
    <n v="1.5"/>
    <n v="1.6"/>
    <x v="147"/>
    <x v="0"/>
    <n v="16.60000000000000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8:D55" firstHeaderRow="1" firstDataRow="1" firstDataCol="0"/>
  <pivotFields count="9">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6">
        <item h="1" x="4"/>
        <item x="3"/>
        <item h="1" x="2"/>
        <item h="1" x="0"/>
        <item h="1" x="1"/>
        <item t="default"/>
      </items>
    </pivotField>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5:C36" firstHeaderRow="0" firstDataRow="1" firstDataCol="0"/>
  <pivotFields count="9">
    <pivotField showAll="0"/>
    <pivotField showAll="0">
      <items count="6">
        <item h="1" x="4"/>
        <item x="3"/>
        <item h="1" x="2"/>
        <item h="1" x="0"/>
        <item h="1" x="1"/>
        <item t="default"/>
      </items>
    </pivotField>
    <pivotField dataField="1" showAll="0"/>
    <pivotField dataField="1" showAll="0"/>
    <pivotField showAll="0"/>
    <pivotField dataField="1" showAll="0"/>
    <pivotField showAll="0"/>
    <pivotField showAll="0"/>
    <pivotField showAll="0"/>
  </pivotFields>
  <rowItems count="1">
    <i/>
  </rowItems>
  <colFields count="1">
    <field x="-2"/>
  </colFields>
  <colItems count="3">
    <i>
      <x/>
    </i>
    <i i="1">
      <x v="1"/>
    </i>
    <i i="2">
      <x v="2"/>
    </i>
  </colItems>
  <dataFields count="3">
    <dataField name="Average of Study_Hours" fld="2" subtotal="average" baseField="0" baseItem="1" numFmtId="2"/>
    <dataField name="Average of Screen_Time" fld="3" subtotal="average" baseField="0" baseItem="1" numFmtId="2"/>
    <dataField name="Average of Test_Scores" fld="5" subtotal="average" baseField="0"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A18:B23" firstHeaderRow="1" firstDataRow="1" firstDataCol="1" rowPageCount="1" colPageCount="1"/>
  <pivotFields count="9">
    <pivotField showAll="0"/>
    <pivotField axis="axisPage" showAll="0">
      <items count="6">
        <item x="4"/>
        <item x="3"/>
        <item x="2"/>
        <item x="0"/>
        <item x="1"/>
        <item t="default"/>
      </items>
    </pivotField>
    <pivotField showAll="0"/>
    <pivotField showAll="0"/>
    <pivotField dataField="1" showAll="0"/>
    <pivotField showAll="0"/>
    <pivotField axis="axisRow" showAll="0">
      <items count="5">
        <item x="1"/>
        <item x="0"/>
        <item x="2"/>
        <item x="3"/>
        <item t="default"/>
      </items>
    </pivotField>
    <pivotField showAll="0"/>
    <pivotField showAll="0"/>
  </pivotFields>
  <rowFields count="1">
    <field x="6"/>
  </rowFields>
  <rowItems count="5">
    <i>
      <x/>
    </i>
    <i>
      <x v="1"/>
    </i>
    <i>
      <x v="2"/>
    </i>
    <i>
      <x v="3"/>
    </i>
    <i t="grand">
      <x/>
    </i>
  </rowItems>
  <colItems count="1">
    <i/>
  </colItems>
  <pageFields count="1">
    <pageField fld="1" hier="-1"/>
  </pageFields>
  <dataFields count="1">
    <dataField name="Average of Extra_Curricular_Hours" fld="4" subtotal="average" baseField="6" baseItem="0" numFmtId="2"/>
  </dataFields>
  <chartFormats count="6">
    <chartFormat chart="15" format="1"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6" count="1" selected="0">
            <x v="0"/>
          </reference>
        </references>
      </pivotArea>
    </chartFormat>
    <chartFormat chart="18" format="9">
      <pivotArea type="data" outline="0" fieldPosition="0">
        <references count="2">
          <reference field="4294967294" count="1" selected="0">
            <x v="0"/>
          </reference>
          <reference field="6" count="1" selected="0">
            <x v="1"/>
          </reference>
        </references>
      </pivotArea>
    </chartFormat>
    <chartFormat chart="18" format="10">
      <pivotArea type="data" outline="0" fieldPosition="0">
        <references count="2">
          <reference field="4294967294" count="1" selected="0">
            <x v="0"/>
          </reference>
          <reference field="6" count="1" selected="0">
            <x v="2"/>
          </reference>
        </references>
      </pivotArea>
    </chartFormat>
    <chartFormat chart="18" format="1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63">
  <location ref="A10:B14" firstHeaderRow="1" firstDataRow="1" firstDataCol="1"/>
  <pivotFields count="9">
    <pivotField showAll="0"/>
    <pivotField showAll="0">
      <items count="6">
        <item x="4"/>
        <item x="3"/>
        <item x="2"/>
        <item x="0"/>
        <item x="1"/>
        <item t="default"/>
      </items>
    </pivotField>
    <pivotField showAll="0"/>
    <pivotField showAll="0"/>
    <pivotField showAll="0"/>
    <pivotField dataField="1" showAll="0"/>
    <pivotField showAll="0"/>
    <pivotField showAll="0"/>
    <pivotField axis="axisRow" showAll="0">
      <items count="5">
        <item x="3"/>
        <item x="0"/>
        <item x="2"/>
        <item x="1"/>
        <item t="default"/>
      </items>
    </pivotField>
  </pivotFields>
  <rowFields count="1">
    <field x="8"/>
  </rowFields>
  <rowItems count="4">
    <i>
      <x/>
    </i>
    <i>
      <x v="1"/>
    </i>
    <i>
      <x v="2"/>
    </i>
    <i>
      <x v="3"/>
    </i>
  </rowItems>
  <colItems count="1">
    <i/>
  </colItems>
  <dataFields count="1">
    <dataField name="Average of Test_Scores" fld="5" subtotal="average" baseField="8" baseItem="0" numFmtId="2"/>
  </dataFields>
  <chartFormats count="2">
    <chartFormat chart="60" format="0" series="1">
      <pivotArea type="data" outline="0" fieldPosition="0">
        <references count="1">
          <reference field="4294967294" count="1" selected="0">
            <x v="0"/>
          </reference>
        </references>
      </pivotArea>
    </chartFormat>
    <chartFormat chart="6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A1:D5" firstHeaderRow="0" firstDataRow="1" firstDataCol="1"/>
  <pivotFields count="9">
    <pivotField showAll="0" includeNewItemsInFilter="1" countASubtotal="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countA"/>
      </items>
    </pivotField>
    <pivotField showAll="0">
      <items count="6">
        <item x="4"/>
        <item x="3"/>
        <item x="2"/>
        <item x="0"/>
        <item x="1"/>
        <item t="default"/>
      </items>
    </pivotField>
    <pivotField dataField="1" showAll="0">
      <items count="45">
        <item x="33"/>
        <item x="40"/>
        <item x="36"/>
        <item x="24"/>
        <item x="17"/>
        <item x="42"/>
        <item x="14"/>
        <item x="25"/>
        <item x="3"/>
        <item x="6"/>
        <item x="15"/>
        <item x="35"/>
        <item x="20"/>
        <item x="7"/>
        <item x="19"/>
        <item x="32"/>
        <item x="30"/>
        <item x="10"/>
        <item x="23"/>
        <item x="11"/>
        <item x="0"/>
        <item x="13"/>
        <item x="1"/>
        <item x="28"/>
        <item x="5"/>
        <item x="2"/>
        <item x="9"/>
        <item x="16"/>
        <item x="4"/>
        <item x="8"/>
        <item x="18"/>
        <item x="21"/>
        <item x="12"/>
        <item x="26"/>
        <item x="29"/>
        <item x="38"/>
        <item x="37"/>
        <item x="22"/>
        <item x="34"/>
        <item x="41"/>
        <item x="39"/>
        <item x="31"/>
        <item x="27"/>
        <item x="43"/>
        <item t="default"/>
      </items>
    </pivotField>
    <pivotField dataField="1" showAll="0"/>
    <pivotField dataField="1" showAll="0"/>
    <pivotField showAll="0">
      <items count="159">
        <item x="127"/>
        <item x="74"/>
        <item x="53"/>
        <item x="49"/>
        <item x="54"/>
        <item x="3"/>
        <item x="69"/>
        <item x="137"/>
        <item x="24"/>
        <item x="117"/>
        <item x="141"/>
        <item x="50"/>
        <item x="10"/>
        <item x="144"/>
        <item x="22"/>
        <item x="113"/>
        <item x="118"/>
        <item x="92"/>
        <item x="40"/>
        <item x="89"/>
        <item x="101"/>
        <item x="78"/>
        <item x="90"/>
        <item x="28"/>
        <item x="123"/>
        <item x="83"/>
        <item x="71"/>
        <item x="96"/>
        <item x="111"/>
        <item x="145"/>
        <item x="56"/>
        <item x="112"/>
        <item x="132"/>
        <item x="15"/>
        <item x="138"/>
        <item x="23"/>
        <item x="103"/>
        <item x="94"/>
        <item x="79"/>
        <item x="105"/>
        <item x="106"/>
        <item x="86"/>
        <item x="139"/>
        <item x="80"/>
        <item x="30"/>
        <item x="110"/>
        <item x="130"/>
        <item x="126"/>
        <item x="152"/>
        <item x="87"/>
        <item x="154"/>
        <item x="116"/>
        <item x="37"/>
        <item x="12"/>
        <item x="67"/>
        <item x="46"/>
        <item x="75"/>
        <item x="157"/>
        <item x="128"/>
        <item x="64"/>
        <item x="115"/>
        <item x="41"/>
        <item x="97"/>
        <item x="131"/>
        <item x="2"/>
        <item x="1"/>
        <item x="153"/>
        <item x="7"/>
        <item x="65"/>
        <item x="99"/>
        <item x="58"/>
        <item x="20"/>
        <item x="134"/>
        <item x="34"/>
        <item x="108"/>
        <item x="18"/>
        <item x="5"/>
        <item x="31"/>
        <item x="73"/>
        <item x="84"/>
        <item x="81"/>
        <item x="146"/>
        <item x="129"/>
        <item x="47"/>
        <item x="68"/>
        <item x="17"/>
        <item x="102"/>
        <item x="120"/>
        <item x="100"/>
        <item x="88"/>
        <item x="32"/>
        <item x="38"/>
        <item x="147"/>
        <item x="60"/>
        <item x="13"/>
        <item x="0"/>
        <item x="57"/>
        <item x="91"/>
        <item x="8"/>
        <item x="36"/>
        <item x="42"/>
        <item x="95"/>
        <item x="27"/>
        <item x="14"/>
        <item x="39"/>
        <item x="35"/>
        <item x="33"/>
        <item x="52"/>
        <item x="63"/>
        <item x="150"/>
        <item x="19"/>
        <item x="4"/>
        <item x="48"/>
        <item x="44"/>
        <item x="9"/>
        <item x="98"/>
        <item x="143"/>
        <item x="82"/>
        <item x="21"/>
        <item x="104"/>
        <item x="133"/>
        <item x="135"/>
        <item x="149"/>
        <item x="62"/>
        <item x="142"/>
        <item x="51"/>
        <item x="151"/>
        <item x="155"/>
        <item x="122"/>
        <item x="59"/>
        <item x="109"/>
        <item x="121"/>
        <item x="55"/>
        <item x="136"/>
        <item x="156"/>
        <item x="85"/>
        <item x="76"/>
        <item x="114"/>
        <item x="148"/>
        <item x="93"/>
        <item x="119"/>
        <item x="77"/>
        <item x="61"/>
        <item x="43"/>
        <item x="45"/>
        <item x="6"/>
        <item x="66"/>
        <item x="16"/>
        <item x="125"/>
        <item x="26"/>
        <item x="25"/>
        <item x="70"/>
        <item x="107"/>
        <item x="29"/>
        <item x="124"/>
        <item x="140"/>
        <item x="11"/>
        <item x="72"/>
        <item t="default"/>
      </items>
    </pivotField>
    <pivotField axis="axisRow" showAll="0">
      <items count="5">
        <item x="1"/>
        <item x="0"/>
        <item x="2"/>
        <item x="3"/>
        <item t="default"/>
      </items>
    </pivotField>
    <pivotField showAll="0"/>
    <pivotField showAll="0"/>
  </pivotFields>
  <rowFields count="1">
    <field x="6"/>
  </rowFields>
  <rowItems count="4">
    <i>
      <x/>
    </i>
    <i>
      <x v="1"/>
    </i>
    <i>
      <x v="2"/>
    </i>
    <i>
      <x v="3"/>
    </i>
  </rowItems>
  <colFields count="1">
    <field x="-2"/>
  </colFields>
  <colItems count="3">
    <i>
      <x/>
    </i>
    <i i="1">
      <x v="1"/>
    </i>
    <i i="2">
      <x v="2"/>
    </i>
  </colItems>
  <dataFields count="3">
    <dataField name="Average of Study_Hours" fld="2" subtotal="average" baseField="6" baseItem="0" numFmtId="2"/>
    <dataField name="Average of Extra_Curricular_Hours" fld="4" subtotal="average" baseField="6" baseItem="0" numFmtId="2"/>
    <dataField name="Average of Screen_Time" fld="3" subtotal="average" baseField="6" baseItem="0" numFmtId="2"/>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1"/>
          </reference>
        </references>
      </pivotArea>
    </chartFormat>
    <chartFormat chart="3"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27:C32" firstHeaderRow="0" firstDataRow="1" firstDataCol="1"/>
  <pivotFields count="9">
    <pivotField showAll="0"/>
    <pivotField showAll="0">
      <items count="6">
        <item x="4"/>
        <item x="3"/>
        <item x="2"/>
        <item x="0"/>
        <item x="1"/>
        <item t="default"/>
      </items>
    </pivotField>
    <pivotField dataField="1" showAll="0">
      <items count="45">
        <item x="33"/>
        <item x="40"/>
        <item x="36"/>
        <item x="24"/>
        <item x="17"/>
        <item x="42"/>
        <item x="14"/>
        <item x="25"/>
        <item x="3"/>
        <item x="6"/>
        <item x="15"/>
        <item x="35"/>
        <item x="20"/>
        <item x="7"/>
        <item x="19"/>
        <item x="32"/>
        <item x="30"/>
        <item x="10"/>
        <item x="23"/>
        <item x="11"/>
        <item x="0"/>
        <item x="13"/>
        <item x="1"/>
        <item x="28"/>
        <item x="5"/>
        <item x="2"/>
        <item x="9"/>
        <item x="16"/>
        <item x="4"/>
        <item x="8"/>
        <item x="18"/>
        <item x="21"/>
        <item x="12"/>
        <item x="26"/>
        <item x="29"/>
        <item x="38"/>
        <item x="37"/>
        <item x="22"/>
        <item x="34"/>
        <item x="41"/>
        <item x="39"/>
        <item x="31"/>
        <item x="27"/>
        <item x="43"/>
        <item t="default"/>
      </items>
    </pivotField>
    <pivotField dataField="1" showAll="0"/>
    <pivotField showAll="0"/>
    <pivotField showAll="0">
      <items count="159">
        <item x="127"/>
        <item x="74"/>
        <item x="53"/>
        <item x="49"/>
        <item x="54"/>
        <item x="3"/>
        <item x="69"/>
        <item x="137"/>
        <item x="24"/>
        <item x="117"/>
        <item x="141"/>
        <item x="50"/>
        <item x="10"/>
        <item x="144"/>
        <item x="22"/>
        <item x="113"/>
        <item x="118"/>
        <item x="92"/>
        <item x="40"/>
        <item x="89"/>
        <item x="101"/>
        <item x="78"/>
        <item x="90"/>
        <item x="28"/>
        <item x="123"/>
        <item x="83"/>
        <item x="71"/>
        <item x="96"/>
        <item x="111"/>
        <item x="145"/>
        <item x="56"/>
        <item x="112"/>
        <item x="132"/>
        <item x="15"/>
        <item x="138"/>
        <item x="23"/>
        <item x="103"/>
        <item x="94"/>
        <item x="79"/>
        <item x="105"/>
        <item x="106"/>
        <item x="86"/>
        <item x="139"/>
        <item x="80"/>
        <item x="30"/>
        <item x="110"/>
        <item x="130"/>
        <item x="126"/>
        <item x="152"/>
        <item x="87"/>
        <item x="154"/>
        <item x="116"/>
        <item x="37"/>
        <item x="12"/>
        <item x="67"/>
        <item x="46"/>
        <item x="75"/>
        <item x="157"/>
        <item x="128"/>
        <item x="64"/>
        <item x="115"/>
        <item x="41"/>
        <item x="97"/>
        <item x="131"/>
        <item x="2"/>
        <item x="1"/>
        <item x="153"/>
        <item x="7"/>
        <item x="65"/>
        <item x="99"/>
        <item x="58"/>
        <item x="20"/>
        <item x="134"/>
        <item x="34"/>
        <item x="108"/>
        <item x="18"/>
        <item x="5"/>
        <item x="31"/>
        <item x="73"/>
        <item x="84"/>
        <item x="81"/>
        <item x="146"/>
        <item x="129"/>
        <item x="47"/>
        <item x="68"/>
        <item x="17"/>
        <item x="102"/>
        <item x="120"/>
        <item x="100"/>
        <item x="88"/>
        <item x="32"/>
        <item x="38"/>
        <item x="147"/>
        <item x="60"/>
        <item x="13"/>
        <item x="0"/>
        <item x="57"/>
        <item x="91"/>
        <item x="8"/>
        <item x="36"/>
        <item x="42"/>
        <item x="95"/>
        <item x="27"/>
        <item x="14"/>
        <item x="39"/>
        <item x="35"/>
        <item x="33"/>
        <item x="52"/>
        <item x="63"/>
        <item x="150"/>
        <item x="19"/>
        <item x="4"/>
        <item x="48"/>
        <item x="44"/>
        <item x="9"/>
        <item x="98"/>
        <item x="143"/>
        <item x="82"/>
        <item x="21"/>
        <item x="104"/>
        <item x="133"/>
        <item x="135"/>
        <item x="149"/>
        <item x="62"/>
        <item x="142"/>
        <item x="51"/>
        <item x="151"/>
        <item x="155"/>
        <item x="122"/>
        <item x="59"/>
        <item x="109"/>
        <item x="121"/>
        <item x="55"/>
        <item x="136"/>
        <item x="156"/>
        <item x="85"/>
        <item x="76"/>
        <item x="114"/>
        <item x="148"/>
        <item x="93"/>
        <item x="119"/>
        <item x="77"/>
        <item x="61"/>
        <item x="43"/>
        <item x="45"/>
        <item x="6"/>
        <item x="66"/>
        <item x="16"/>
        <item x="125"/>
        <item x="26"/>
        <item x="25"/>
        <item x="70"/>
        <item x="107"/>
        <item x="29"/>
        <item x="124"/>
        <item x="140"/>
        <item x="11"/>
        <item x="72"/>
        <item t="default"/>
      </items>
    </pivotField>
    <pivotField axis="axisRow" showAll="0">
      <items count="5">
        <item x="1"/>
        <item x="0"/>
        <item x="2"/>
        <item x="3"/>
        <item t="default"/>
      </items>
    </pivotField>
    <pivotField showAll="0"/>
    <pivotField showAll="0">
      <items count="5">
        <item x="3"/>
        <item x="0"/>
        <item x="2"/>
        <item x="1"/>
        <item t="default"/>
      </items>
    </pivotField>
  </pivotFields>
  <rowFields count="1">
    <field x="6"/>
  </rowFields>
  <rowItems count="5">
    <i>
      <x/>
    </i>
    <i>
      <x v="1"/>
    </i>
    <i>
      <x v="2"/>
    </i>
    <i>
      <x v="3"/>
    </i>
    <i t="grand">
      <x/>
    </i>
  </rowItems>
  <colFields count="1">
    <field x="-2"/>
  </colFields>
  <colItems count="2">
    <i>
      <x/>
    </i>
    <i i="1">
      <x v="1"/>
    </i>
  </colItems>
  <dataFields count="2">
    <dataField name="Average of Study_Hours" fld="2" subtotal="average" baseField="6" baseItem="0" numFmtId="2"/>
    <dataField name="Average of Screen_Time" fld="3" subtotal="average" baseField="6" baseItem="0" numFmtId="2"/>
  </dataFields>
  <chartFormats count="4">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0">
    <queryTableFields count="9">
      <queryTableField id="1" name="Student_ID" tableColumnId="19"/>
      <queryTableField id="2" name="Age" tableColumnId="20"/>
      <queryTableField id="3" name="Study_Hours" tableColumnId="21"/>
      <queryTableField id="4" name="Screen_Time" tableColumnId="22"/>
      <queryTableField id="5" name="Extra_Curricular_Hours" tableColumnId="23"/>
      <queryTableField id="6" name="Test_Scores" tableColumnId="24"/>
      <queryTableField id="7" name="Performance" tableColumnId="25"/>
      <queryTableField id="8" name="Study Efficiency" tableColumnId="26"/>
      <queryTableField id="9" name="Screen time analysis"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ge" sourceName="Age">
  <pivotTables>
    <pivotTable tabId="3" name="PivotTable2"/>
    <pivotTable tabId="3" name="PivotTable1"/>
    <pivotTable tabId="3" name="PivotTable3"/>
    <pivotTable tabId="3" name="PivotTable4"/>
  </pivotTables>
  <data>
    <tabular pivotCacheId="1">
      <items count="5">
        <i x="4" s="1"/>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ge 1" cache="Slicer_Age" caption="Age"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Age" cache="Slicer_Age" caption="Age"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student_screen_time_raw" displayName="student_screen_time_raw" ref="A1:I201" tableType="queryTable" totalsRowShown="0">
  <autoFilter ref="A1:I201"/>
  <tableColumns count="9">
    <tableColumn id="19" uniqueName="19" name="Student_ID" queryTableFieldId="1"/>
    <tableColumn id="20" uniqueName="20" name="Age" queryTableFieldId="2"/>
    <tableColumn id="21" uniqueName="21" name="Study_Hours" queryTableFieldId="3"/>
    <tableColumn id="22" uniqueName="22" name="Screen_Time" queryTableFieldId="4"/>
    <tableColumn id="23" uniqueName="23" name="Extra_Curricular_Hours" queryTableFieldId="5"/>
    <tableColumn id="24" uniqueName="24" name="Test_Scores" queryTableFieldId="6"/>
    <tableColumn id="25" uniqueName="25" name="Performance" queryTableFieldId="7"/>
    <tableColumn id="26" uniqueName="26" name="Study Efficiency" queryTableFieldId="8"/>
    <tableColumn id="27" uniqueName="27" name="Screen time usage" queryTableFieldId="9"/>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6"/>
  <sheetViews>
    <sheetView topLeftCell="A185" workbookViewId="0"/>
  </sheetViews>
  <sheetFormatPr defaultRowHeight="15" x14ac:dyDescent="0.25"/>
  <cols>
    <col min="1" max="1" width="13.42578125" customWidth="1"/>
    <col min="3" max="3" width="12.140625" customWidth="1"/>
    <col min="4" max="4" width="14.140625" customWidth="1"/>
    <col min="5" max="5" width="14" customWidth="1"/>
    <col min="6" max="6" width="20.5703125" customWidth="1"/>
  </cols>
  <sheetData>
    <row r="1" spans="1:6" x14ac:dyDescent="0.25">
      <c r="A1" t="s">
        <v>0</v>
      </c>
      <c r="B1" t="s">
        <v>1</v>
      </c>
      <c r="C1" t="s">
        <v>2</v>
      </c>
      <c r="D1" t="s">
        <v>3</v>
      </c>
      <c r="E1" t="s">
        <v>4</v>
      </c>
      <c r="F1" t="s">
        <v>5</v>
      </c>
    </row>
    <row r="2" spans="1:6" x14ac:dyDescent="0.25">
      <c r="A2">
        <v>1</v>
      </c>
      <c r="B2">
        <v>16</v>
      </c>
      <c r="C2">
        <v>2.5</v>
      </c>
      <c r="D2">
        <v>2.7</v>
      </c>
      <c r="E2">
        <v>75</v>
      </c>
      <c r="F2">
        <v>1.6</v>
      </c>
    </row>
    <row r="3" spans="1:6" x14ac:dyDescent="0.25">
      <c r="A3">
        <v>2</v>
      </c>
      <c r="B3">
        <v>17</v>
      </c>
      <c r="C3">
        <v>2.7</v>
      </c>
      <c r="D3">
        <v>4</v>
      </c>
      <c r="E3">
        <v>68.099999999999994</v>
      </c>
      <c r="F3">
        <v>0.7</v>
      </c>
    </row>
    <row r="4" spans="1:6" x14ac:dyDescent="0.25">
      <c r="A4">
        <v>3</v>
      </c>
      <c r="B4">
        <v>15</v>
      </c>
      <c r="C4">
        <v>3</v>
      </c>
      <c r="D4">
        <v>4.3</v>
      </c>
      <c r="E4">
        <v>67.900000000000006</v>
      </c>
      <c r="F4">
        <v>1.5</v>
      </c>
    </row>
    <row r="5" spans="1:6" x14ac:dyDescent="0.25">
      <c r="A5">
        <v>4</v>
      </c>
      <c r="B5">
        <v>17</v>
      </c>
      <c r="C5">
        <v>3</v>
      </c>
      <c r="D5">
        <v>2.8</v>
      </c>
      <c r="E5">
        <v>47.2</v>
      </c>
      <c r="F5">
        <v>1.8</v>
      </c>
    </row>
    <row r="6" spans="1:6" x14ac:dyDescent="0.25">
      <c r="A6">
        <v>5</v>
      </c>
      <c r="B6">
        <v>17</v>
      </c>
      <c r="D6">
        <v>1.8</v>
      </c>
      <c r="E6">
        <v>78</v>
      </c>
      <c r="F6">
        <v>1.4</v>
      </c>
    </row>
    <row r="7" spans="1:6" x14ac:dyDescent="0.25">
      <c r="A7">
        <v>6</v>
      </c>
      <c r="B7">
        <v>14</v>
      </c>
      <c r="C7">
        <v>1.3</v>
      </c>
      <c r="D7">
        <v>4.4000000000000004</v>
      </c>
      <c r="E7">
        <v>71.5</v>
      </c>
      <c r="F7">
        <v>0.4</v>
      </c>
    </row>
    <row r="8" spans="1:6" x14ac:dyDescent="0.25">
      <c r="A8">
        <v>7</v>
      </c>
      <c r="B8">
        <v>15</v>
      </c>
      <c r="C8">
        <v>3.3</v>
      </c>
      <c r="D8">
        <v>6.7</v>
      </c>
      <c r="E8">
        <v>88</v>
      </c>
      <c r="F8">
        <v>2.9</v>
      </c>
    </row>
    <row r="9" spans="1:6" x14ac:dyDescent="0.25">
      <c r="A9">
        <v>8</v>
      </c>
      <c r="B9">
        <v>15</v>
      </c>
      <c r="C9">
        <v>2.9</v>
      </c>
      <c r="D9">
        <v>4.5999999999999996</v>
      </c>
      <c r="E9">
        <v>69.3</v>
      </c>
      <c r="F9">
        <v>1.6</v>
      </c>
    </row>
    <row r="10" spans="1:6" x14ac:dyDescent="0.25">
      <c r="A10">
        <v>9</v>
      </c>
      <c r="B10">
        <v>15</v>
      </c>
      <c r="C10">
        <v>1.4</v>
      </c>
      <c r="D10">
        <v>4.0999999999999996</v>
      </c>
      <c r="E10">
        <v>75.7</v>
      </c>
      <c r="F10">
        <v>0.9</v>
      </c>
    </row>
    <row r="11" spans="1:6" x14ac:dyDescent="0.25">
      <c r="A11">
        <v>10</v>
      </c>
      <c r="B11">
        <v>17</v>
      </c>
      <c r="C11">
        <v>1.8</v>
      </c>
      <c r="D11">
        <v>4.0999999999999996</v>
      </c>
      <c r="E11">
        <v>78.3</v>
      </c>
      <c r="F11">
        <v>2.8</v>
      </c>
    </row>
    <row r="12" spans="1:6" x14ac:dyDescent="0.25">
      <c r="A12">
        <v>11</v>
      </c>
      <c r="B12">
        <v>16</v>
      </c>
      <c r="C12">
        <v>3.4</v>
      </c>
      <c r="D12">
        <v>3.6</v>
      </c>
      <c r="E12">
        <v>52.5</v>
      </c>
      <c r="F12">
        <v>2</v>
      </c>
    </row>
    <row r="13" spans="1:6" x14ac:dyDescent="0.25">
      <c r="A13">
        <v>12</v>
      </c>
      <c r="B13">
        <v>15</v>
      </c>
      <c r="C13">
        <v>3.1</v>
      </c>
      <c r="D13">
        <v>5.8</v>
      </c>
      <c r="E13">
        <v>96.2</v>
      </c>
      <c r="F13">
        <v>0.5</v>
      </c>
    </row>
    <row r="14" spans="1:6" x14ac:dyDescent="0.25">
      <c r="A14">
        <v>13</v>
      </c>
      <c r="B14">
        <v>17</v>
      </c>
      <c r="C14">
        <v>1.8</v>
      </c>
      <c r="E14">
        <v>65.7</v>
      </c>
      <c r="F14">
        <v>0.7</v>
      </c>
    </row>
    <row r="15" spans="1:6" x14ac:dyDescent="0.25">
      <c r="A15">
        <v>14</v>
      </c>
      <c r="B15">
        <v>14</v>
      </c>
      <c r="C15">
        <v>2.2000000000000002</v>
      </c>
      <c r="D15">
        <v>2</v>
      </c>
      <c r="E15">
        <v>74.900000000000006</v>
      </c>
      <c r="F15">
        <v>1.3</v>
      </c>
    </row>
    <row r="16" spans="1:6" x14ac:dyDescent="0.25">
      <c r="A16">
        <v>15</v>
      </c>
      <c r="B16">
        <v>16</v>
      </c>
      <c r="C16">
        <v>2.4</v>
      </c>
      <c r="D16">
        <v>1.6</v>
      </c>
      <c r="E16">
        <v>76.400000000000006</v>
      </c>
      <c r="F16">
        <v>1.7</v>
      </c>
    </row>
    <row r="17" spans="1:6" x14ac:dyDescent="0.25">
      <c r="A17">
        <v>16</v>
      </c>
      <c r="B17">
        <v>14</v>
      </c>
      <c r="C17">
        <v>3.1</v>
      </c>
      <c r="D17">
        <v>4.0999999999999996</v>
      </c>
      <c r="E17">
        <v>61.9</v>
      </c>
      <c r="F17">
        <v>2</v>
      </c>
    </row>
    <row r="18" spans="1:6" x14ac:dyDescent="0.25">
      <c r="A18">
        <v>17</v>
      </c>
      <c r="B18">
        <v>16</v>
      </c>
      <c r="C18">
        <v>3.7</v>
      </c>
      <c r="D18">
        <v>5.6</v>
      </c>
      <c r="E18">
        <v>88.5</v>
      </c>
      <c r="F18">
        <v>2.2999999999999998</v>
      </c>
    </row>
    <row r="19" spans="1:6" x14ac:dyDescent="0.25">
      <c r="A19">
        <v>18</v>
      </c>
      <c r="B19">
        <v>17</v>
      </c>
      <c r="C19">
        <v>2.6</v>
      </c>
      <c r="D19">
        <v>4.4000000000000004</v>
      </c>
      <c r="E19">
        <v>72.7</v>
      </c>
      <c r="F19">
        <v>1.9</v>
      </c>
    </row>
    <row r="20" spans="1:6" x14ac:dyDescent="0.25">
      <c r="A20">
        <v>19</v>
      </c>
      <c r="B20">
        <v>13</v>
      </c>
      <c r="D20">
        <v>3.5</v>
      </c>
      <c r="E20">
        <v>67.900000000000006</v>
      </c>
      <c r="F20">
        <v>2.6</v>
      </c>
    </row>
    <row r="21" spans="1:6" x14ac:dyDescent="0.25">
      <c r="A21">
        <v>20</v>
      </c>
      <c r="B21">
        <v>16</v>
      </c>
      <c r="C21">
        <v>3.4</v>
      </c>
      <c r="D21">
        <v>4.7</v>
      </c>
      <c r="E21">
        <v>71.400000000000006</v>
      </c>
      <c r="F21">
        <v>1.6</v>
      </c>
    </row>
    <row r="22" spans="1:6" x14ac:dyDescent="0.25">
      <c r="A22">
        <v>21</v>
      </c>
      <c r="B22">
        <v>14</v>
      </c>
      <c r="C22">
        <v>2.7</v>
      </c>
      <c r="D22">
        <v>4.3</v>
      </c>
      <c r="E22">
        <v>77.599999999999994</v>
      </c>
      <c r="F22">
        <v>0.9</v>
      </c>
    </row>
    <row r="23" spans="1:6" x14ac:dyDescent="0.25">
      <c r="A23">
        <v>22</v>
      </c>
      <c r="B23">
        <v>17</v>
      </c>
      <c r="C23">
        <v>1.1000000000000001</v>
      </c>
      <c r="D23">
        <v>5.2</v>
      </c>
      <c r="E23">
        <v>70.099999999999994</v>
      </c>
      <c r="F23">
        <v>1.5</v>
      </c>
    </row>
    <row r="24" spans="1:6" x14ac:dyDescent="0.25">
      <c r="A24">
        <v>23</v>
      </c>
      <c r="B24">
        <v>16</v>
      </c>
      <c r="C24">
        <v>1.5</v>
      </c>
      <c r="D24">
        <v>6</v>
      </c>
      <c r="E24">
        <v>78.8</v>
      </c>
      <c r="F24">
        <v>1.4</v>
      </c>
    </row>
    <row r="25" spans="1:6" x14ac:dyDescent="0.25">
      <c r="A25">
        <v>24</v>
      </c>
      <c r="B25">
        <v>13</v>
      </c>
      <c r="C25">
        <v>3.2</v>
      </c>
      <c r="D25">
        <v>2.6</v>
      </c>
      <c r="E25">
        <v>53.2</v>
      </c>
      <c r="F25">
        <v>0</v>
      </c>
    </row>
    <row r="26" spans="1:6" x14ac:dyDescent="0.25">
      <c r="A26">
        <v>25</v>
      </c>
      <c r="B26">
        <v>13</v>
      </c>
      <c r="C26">
        <v>0.8</v>
      </c>
      <c r="D26">
        <v>0.5</v>
      </c>
      <c r="E26">
        <v>62.5</v>
      </c>
      <c r="F26">
        <v>1.1000000000000001</v>
      </c>
    </row>
    <row r="27" spans="1:6" x14ac:dyDescent="0.25">
      <c r="A27">
        <v>26</v>
      </c>
      <c r="B27">
        <v>15</v>
      </c>
      <c r="C27">
        <v>2.6</v>
      </c>
      <c r="D27">
        <v>3.5</v>
      </c>
      <c r="E27">
        <v>48.6</v>
      </c>
      <c r="F27">
        <v>1.8</v>
      </c>
    </row>
    <row r="28" spans="1:6" x14ac:dyDescent="0.25">
      <c r="A28">
        <v>27</v>
      </c>
      <c r="B28">
        <v>15</v>
      </c>
      <c r="C28">
        <v>3.5</v>
      </c>
      <c r="D28">
        <v>2.5</v>
      </c>
      <c r="E28">
        <v>90</v>
      </c>
      <c r="F28">
        <v>1.2</v>
      </c>
    </row>
    <row r="29" spans="1:6" x14ac:dyDescent="0.25">
      <c r="A29">
        <v>28</v>
      </c>
      <c r="B29">
        <v>14</v>
      </c>
      <c r="C29">
        <v>2.7</v>
      </c>
      <c r="D29">
        <v>5.2</v>
      </c>
      <c r="E29">
        <v>89.8</v>
      </c>
      <c r="F29">
        <v>1</v>
      </c>
    </row>
    <row r="30" spans="1:6" x14ac:dyDescent="0.25">
      <c r="A30">
        <v>29</v>
      </c>
      <c r="B30">
        <v>16</v>
      </c>
      <c r="C30">
        <v>1.9</v>
      </c>
      <c r="D30">
        <v>2.9</v>
      </c>
      <c r="E30">
        <v>76.3</v>
      </c>
      <c r="F30">
        <v>2.2000000000000002</v>
      </c>
    </row>
    <row r="31" spans="1:6" x14ac:dyDescent="0.25">
      <c r="A31">
        <v>30</v>
      </c>
      <c r="B31">
        <v>16</v>
      </c>
      <c r="C31">
        <v>1.7</v>
      </c>
      <c r="D31">
        <v>1.2</v>
      </c>
      <c r="E31">
        <v>59.9</v>
      </c>
      <c r="F31">
        <v>0.8</v>
      </c>
    </row>
    <row r="32" spans="1:6" x14ac:dyDescent="0.25">
      <c r="A32">
        <v>31</v>
      </c>
      <c r="B32">
        <v>15</v>
      </c>
      <c r="C32">
        <v>3.3</v>
      </c>
      <c r="D32">
        <v>3.1</v>
      </c>
      <c r="E32">
        <v>93.9</v>
      </c>
      <c r="F32">
        <v>2.1</v>
      </c>
    </row>
    <row r="33" spans="1:6" x14ac:dyDescent="0.25">
      <c r="A33">
        <v>32</v>
      </c>
      <c r="B33">
        <v>16</v>
      </c>
      <c r="C33">
        <v>3</v>
      </c>
      <c r="D33">
        <v>1.8</v>
      </c>
      <c r="E33">
        <v>64</v>
      </c>
      <c r="F33">
        <v>0.4</v>
      </c>
    </row>
    <row r="34" spans="1:6" x14ac:dyDescent="0.25">
      <c r="A34">
        <v>33</v>
      </c>
      <c r="B34">
        <v>16</v>
      </c>
      <c r="C34">
        <v>2.2000000000000002</v>
      </c>
      <c r="D34">
        <v>6.4</v>
      </c>
      <c r="E34">
        <v>67.900000000000006</v>
      </c>
      <c r="F34">
        <v>3.7</v>
      </c>
    </row>
    <row r="35" spans="1:6" x14ac:dyDescent="0.25">
      <c r="A35">
        <v>34</v>
      </c>
      <c r="B35">
        <v>13</v>
      </c>
      <c r="C35">
        <v>3.6</v>
      </c>
      <c r="D35">
        <v>4.7</v>
      </c>
      <c r="E35">
        <v>71.599999999999994</v>
      </c>
      <c r="F35">
        <v>1.3</v>
      </c>
    </row>
    <row r="36" spans="1:6" x14ac:dyDescent="0.25">
      <c r="A36">
        <v>35</v>
      </c>
      <c r="B36">
        <v>15</v>
      </c>
      <c r="C36">
        <v>3.4</v>
      </c>
      <c r="D36">
        <v>5</v>
      </c>
      <c r="E36">
        <v>74.5</v>
      </c>
      <c r="F36">
        <v>1.2</v>
      </c>
    </row>
    <row r="37" spans="1:6" x14ac:dyDescent="0.25">
      <c r="A37">
        <v>36</v>
      </c>
      <c r="B37">
        <v>17</v>
      </c>
      <c r="C37">
        <v>4.3</v>
      </c>
      <c r="D37">
        <v>4.8</v>
      </c>
      <c r="E37">
        <v>76.400000000000006</v>
      </c>
      <c r="F37">
        <v>2.4</v>
      </c>
    </row>
    <row r="38" spans="1:6" x14ac:dyDescent="0.25">
      <c r="A38">
        <v>37</v>
      </c>
      <c r="B38">
        <v>15</v>
      </c>
      <c r="C38">
        <v>3.1</v>
      </c>
      <c r="D38">
        <v>5.3</v>
      </c>
      <c r="E38">
        <v>76.8</v>
      </c>
      <c r="F38">
        <v>1.2</v>
      </c>
    </row>
    <row r="39" spans="1:6" x14ac:dyDescent="0.25">
      <c r="A39">
        <v>38</v>
      </c>
      <c r="B39">
        <v>17</v>
      </c>
      <c r="C39">
        <v>2.2999999999999998</v>
      </c>
      <c r="D39">
        <v>5.7</v>
      </c>
      <c r="F39">
        <v>2.7</v>
      </c>
    </row>
    <row r="40" spans="1:6" x14ac:dyDescent="0.25">
      <c r="A40">
        <v>39</v>
      </c>
      <c r="B40">
        <v>13</v>
      </c>
      <c r="C40">
        <v>2.4</v>
      </c>
      <c r="D40">
        <v>3.2</v>
      </c>
      <c r="E40">
        <v>76.7</v>
      </c>
      <c r="F40">
        <v>1.8</v>
      </c>
    </row>
    <row r="41" spans="1:6" x14ac:dyDescent="0.25">
      <c r="A41">
        <v>40</v>
      </c>
      <c r="B41">
        <v>14</v>
      </c>
      <c r="C41">
        <v>0.6</v>
      </c>
      <c r="D41">
        <v>1.9</v>
      </c>
      <c r="F41">
        <v>1.4</v>
      </c>
    </row>
    <row r="42" spans="1:6" x14ac:dyDescent="0.25">
      <c r="A42">
        <v>41</v>
      </c>
      <c r="B42">
        <v>16</v>
      </c>
      <c r="C42">
        <v>2.7</v>
      </c>
      <c r="D42">
        <v>2.7</v>
      </c>
      <c r="E42">
        <v>75.8</v>
      </c>
      <c r="F42">
        <v>1.3</v>
      </c>
    </row>
    <row r="43" spans="1:6" x14ac:dyDescent="0.25">
      <c r="A43">
        <v>42</v>
      </c>
      <c r="B43">
        <v>13</v>
      </c>
      <c r="D43">
        <v>3.9</v>
      </c>
      <c r="E43">
        <v>75</v>
      </c>
      <c r="F43">
        <v>2.5</v>
      </c>
    </row>
    <row r="44" spans="1:6" x14ac:dyDescent="0.25">
      <c r="A44">
        <v>43</v>
      </c>
      <c r="B44">
        <v>16</v>
      </c>
      <c r="C44">
        <v>1.2</v>
      </c>
      <c r="D44">
        <v>0.2</v>
      </c>
      <c r="E44">
        <v>77.599999999999994</v>
      </c>
      <c r="F44">
        <v>1.7</v>
      </c>
    </row>
    <row r="45" spans="1:6" x14ac:dyDescent="0.25">
      <c r="A45">
        <v>44</v>
      </c>
      <c r="B45">
        <v>14</v>
      </c>
      <c r="C45">
        <v>2.5</v>
      </c>
      <c r="D45">
        <v>5.7</v>
      </c>
      <c r="E45">
        <v>76.400000000000006</v>
      </c>
      <c r="F45">
        <v>1.8</v>
      </c>
    </row>
    <row r="46" spans="1:6" x14ac:dyDescent="0.25">
      <c r="A46">
        <v>45</v>
      </c>
      <c r="B46">
        <v>14</v>
      </c>
      <c r="C46">
        <v>3.8</v>
      </c>
      <c r="D46">
        <v>1.2</v>
      </c>
      <c r="E46">
        <v>65.599999999999994</v>
      </c>
      <c r="F46">
        <v>1.9</v>
      </c>
    </row>
    <row r="47" spans="1:6" x14ac:dyDescent="0.25">
      <c r="A47">
        <v>46</v>
      </c>
      <c r="B47">
        <v>13</v>
      </c>
      <c r="C47">
        <v>1.8</v>
      </c>
      <c r="D47">
        <v>4.9000000000000004</v>
      </c>
      <c r="E47">
        <v>74.599999999999994</v>
      </c>
      <c r="F47">
        <v>1.6</v>
      </c>
    </row>
    <row r="48" spans="1:6" x14ac:dyDescent="0.25">
      <c r="A48">
        <v>47</v>
      </c>
      <c r="B48">
        <v>14</v>
      </c>
      <c r="C48">
        <v>1.5</v>
      </c>
      <c r="D48">
        <v>3.7</v>
      </c>
      <c r="E48">
        <v>76.5</v>
      </c>
      <c r="F48">
        <v>1.9</v>
      </c>
    </row>
    <row r="49" spans="1:6" x14ac:dyDescent="0.25">
      <c r="A49">
        <v>48</v>
      </c>
      <c r="B49">
        <v>17</v>
      </c>
      <c r="C49">
        <v>3.6</v>
      </c>
      <c r="D49">
        <v>4.4000000000000004</v>
      </c>
      <c r="E49">
        <v>57.1</v>
      </c>
      <c r="F49">
        <v>1.4</v>
      </c>
    </row>
    <row r="50" spans="1:6" x14ac:dyDescent="0.25">
      <c r="A50">
        <v>49</v>
      </c>
      <c r="B50">
        <v>14</v>
      </c>
      <c r="C50">
        <v>3.1</v>
      </c>
      <c r="D50">
        <v>3.3</v>
      </c>
      <c r="E50">
        <v>67.3</v>
      </c>
      <c r="F50">
        <v>1.5</v>
      </c>
    </row>
    <row r="51" spans="1:6" x14ac:dyDescent="0.25">
      <c r="A51">
        <v>50</v>
      </c>
      <c r="B51">
        <v>16</v>
      </c>
      <c r="C51">
        <v>5.6</v>
      </c>
      <c r="D51">
        <v>4.3</v>
      </c>
      <c r="E51">
        <v>76.099999999999994</v>
      </c>
      <c r="F51">
        <v>0.6</v>
      </c>
    </row>
    <row r="52" spans="1:6" x14ac:dyDescent="0.25">
      <c r="A52">
        <v>51</v>
      </c>
      <c r="B52">
        <v>16</v>
      </c>
      <c r="C52">
        <v>1.2</v>
      </c>
      <c r="D52">
        <v>3.3</v>
      </c>
      <c r="E52">
        <v>87.1</v>
      </c>
      <c r="F52">
        <v>1.7</v>
      </c>
    </row>
    <row r="53" spans="1:6" x14ac:dyDescent="0.25">
      <c r="A53">
        <v>52</v>
      </c>
      <c r="B53">
        <v>16</v>
      </c>
      <c r="C53">
        <v>3.2</v>
      </c>
      <c r="D53">
        <v>3.2</v>
      </c>
      <c r="E53">
        <v>78.2</v>
      </c>
      <c r="F53">
        <v>0.1</v>
      </c>
    </row>
    <row r="54" spans="1:6" x14ac:dyDescent="0.25">
      <c r="A54">
        <v>53</v>
      </c>
      <c r="B54">
        <v>16</v>
      </c>
      <c r="C54">
        <v>2.8</v>
      </c>
      <c r="D54">
        <v>2.7</v>
      </c>
      <c r="E54">
        <v>87.7</v>
      </c>
      <c r="F54">
        <v>1.7</v>
      </c>
    </row>
    <row r="55" spans="1:6" x14ac:dyDescent="0.25">
      <c r="A55">
        <v>54</v>
      </c>
      <c r="B55">
        <v>17</v>
      </c>
      <c r="C55">
        <v>2.6</v>
      </c>
      <c r="E55">
        <v>66</v>
      </c>
      <c r="F55">
        <v>1.3</v>
      </c>
    </row>
    <row r="56" spans="1:6" x14ac:dyDescent="0.25">
      <c r="A56">
        <v>55</v>
      </c>
      <c r="B56">
        <v>15</v>
      </c>
      <c r="C56">
        <v>3.4</v>
      </c>
      <c r="D56">
        <v>4.5999999999999996</v>
      </c>
      <c r="E56">
        <v>72.5</v>
      </c>
      <c r="F56">
        <v>1.8</v>
      </c>
    </row>
    <row r="57" spans="1:6" x14ac:dyDescent="0.25">
      <c r="A57">
        <v>56</v>
      </c>
      <c r="B57">
        <v>13</v>
      </c>
      <c r="C57">
        <v>2.5</v>
      </c>
      <c r="D57">
        <v>4.3</v>
      </c>
      <c r="E57">
        <v>78.099999999999994</v>
      </c>
      <c r="F57">
        <v>0.7</v>
      </c>
    </row>
    <row r="58" spans="1:6" x14ac:dyDescent="0.25">
      <c r="A58">
        <v>57</v>
      </c>
      <c r="B58">
        <v>16</v>
      </c>
      <c r="C58">
        <v>0.6</v>
      </c>
      <c r="D58">
        <v>2.7</v>
      </c>
      <c r="E58">
        <v>46.7</v>
      </c>
      <c r="F58">
        <v>0</v>
      </c>
    </row>
    <row r="59" spans="1:6" x14ac:dyDescent="0.25">
      <c r="A59">
        <v>58</v>
      </c>
      <c r="B59">
        <v>14</v>
      </c>
      <c r="C59">
        <v>1.7</v>
      </c>
      <c r="D59">
        <v>3.6</v>
      </c>
      <c r="F59">
        <v>1.2</v>
      </c>
    </row>
    <row r="60" spans="1:6" x14ac:dyDescent="0.25">
      <c r="A60">
        <v>59</v>
      </c>
      <c r="B60">
        <v>16</v>
      </c>
      <c r="C60">
        <v>3.9</v>
      </c>
      <c r="D60">
        <v>2.5</v>
      </c>
      <c r="E60">
        <v>51.4</v>
      </c>
      <c r="F60">
        <v>0.7</v>
      </c>
    </row>
    <row r="61" spans="1:6" x14ac:dyDescent="0.25">
      <c r="A61">
        <v>60</v>
      </c>
      <c r="B61">
        <v>14</v>
      </c>
      <c r="C61">
        <v>3.7</v>
      </c>
      <c r="D61">
        <v>3.3</v>
      </c>
      <c r="E61">
        <v>80</v>
      </c>
      <c r="F61">
        <v>0.1</v>
      </c>
    </row>
    <row r="62" spans="1:6" x14ac:dyDescent="0.25">
      <c r="A62">
        <v>61</v>
      </c>
      <c r="B62">
        <v>14</v>
      </c>
      <c r="C62">
        <v>2.1</v>
      </c>
      <c r="D62">
        <v>2.2000000000000002</v>
      </c>
      <c r="E62">
        <v>76.900000000000006</v>
      </c>
      <c r="F62">
        <v>2.1</v>
      </c>
    </row>
    <row r="63" spans="1:6" x14ac:dyDescent="0.25">
      <c r="A63">
        <v>62</v>
      </c>
      <c r="B63">
        <v>16</v>
      </c>
      <c r="C63">
        <v>3</v>
      </c>
      <c r="D63">
        <v>6.4</v>
      </c>
      <c r="E63">
        <v>46.6</v>
      </c>
      <c r="F63">
        <v>2.8</v>
      </c>
    </row>
    <row r="64" spans="1:6" x14ac:dyDescent="0.25">
      <c r="A64">
        <v>63</v>
      </c>
      <c r="B64">
        <v>17</v>
      </c>
      <c r="C64">
        <v>5.3</v>
      </c>
      <c r="E64">
        <v>47.1</v>
      </c>
      <c r="F64">
        <v>0.9</v>
      </c>
    </row>
    <row r="65" spans="1:6" x14ac:dyDescent="0.25">
      <c r="A65">
        <v>64</v>
      </c>
      <c r="B65">
        <v>14</v>
      </c>
      <c r="C65">
        <v>2.5</v>
      </c>
      <c r="D65">
        <v>2.7</v>
      </c>
      <c r="F65">
        <v>1.4</v>
      </c>
    </row>
    <row r="66" spans="1:6" x14ac:dyDescent="0.25">
      <c r="A66">
        <v>65</v>
      </c>
      <c r="B66">
        <v>14</v>
      </c>
      <c r="C66">
        <v>2.5</v>
      </c>
      <c r="D66">
        <v>2</v>
      </c>
      <c r="E66">
        <v>82.1</v>
      </c>
      <c r="F66">
        <v>1.3</v>
      </c>
    </row>
    <row r="67" spans="1:6" x14ac:dyDescent="0.25">
      <c r="A67">
        <v>66</v>
      </c>
      <c r="B67">
        <v>16</v>
      </c>
      <c r="C67">
        <v>2.7</v>
      </c>
      <c r="D67">
        <v>2.8</v>
      </c>
      <c r="E67">
        <v>61.2</v>
      </c>
      <c r="F67">
        <v>1</v>
      </c>
    </row>
    <row r="68" spans="1:6" x14ac:dyDescent="0.25">
      <c r="A68">
        <v>67</v>
      </c>
      <c r="B68">
        <v>14</v>
      </c>
      <c r="C68">
        <v>3.1</v>
      </c>
      <c r="D68">
        <v>3.3</v>
      </c>
      <c r="E68">
        <v>61.2</v>
      </c>
      <c r="F68">
        <v>2</v>
      </c>
    </row>
    <row r="69" spans="1:6" x14ac:dyDescent="0.25">
      <c r="A69">
        <v>68</v>
      </c>
      <c r="B69">
        <v>14</v>
      </c>
      <c r="C69">
        <v>2.2000000000000002</v>
      </c>
      <c r="D69">
        <v>3.9</v>
      </c>
      <c r="E69">
        <v>75.099999999999994</v>
      </c>
      <c r="F69">
        <v>2.2999999999999998</v>
      </c>
    </row>
    <row r="70" spans="1:6" x14ac:dyDescent="0.25">
      <c r="A70">
        <v>69</v>
      </c>
      <c r="B70">
        <v>16</v>
      </c>
      <c r="C70">
        <v>3.1</v>
      </c>
      <c r="D70">
        <v>3</v>
      </c>
      <c r="E70">
        <v>69.900000000000006</v>
      </c>
      <c r="F70">
        <v>0.8</v>
      </c>
    </row>
    <row r="71" spans="1:6" x14ac:dyDescent="0.25">
      <c r="A71">
        <v>70</v>
      </c>
      <c r="B71">
        <v>16</v>
      </c>
      <c r="C71">
        <v>0.6</v>
      </c>
      <c r="D71">
        <v>1.6</v>
      </c>
      <c r="E71">
        <v>80.5</v>
      </c>
      <c r="F71">
        <v>1.5</v>
      </c>
    </row>
    <row r="72" spans="1:6" x14ac:dyDescent="0.25">
      <c r="A72">
        <v>71</v>
      </c>
      <c r="B72">
        <v>13</v>
      </c>
      <c r="C72">
        <v>2.8</v>
      </c>
      <c r="D72">
        <v>1.7</v>
      </c>
      <c r="E72">
        <v>74.8</v>
      </c>
      <c r="F72">
        <v>2.5</v>
      </c>
    </row>
    <row r="73" spans="1:6" x14ac:dyDescent="0.25">
      <c r="A73">
        <v>72</v>
      </c>
      <c r="B73">
        <v>17</v>
      </c>
      <c r="C73">
        <v>2.6</v>
      </c>
      <c r="D73">
        <v>5</v>
      </c>
      <c r="E73">
        <v>85.8</v>
      </c>
      <c r="F73">
        <v>2.1</v>
      </c>
    </row>
    <row r="74" spans="1:6" x14ac:dyDescent="0.25">
      <c r="A74">
        <v>73</v>
      </c>
      <c r="B74">
        <v>17</v>
      </c>
      <c r="C74">
        <v>2.2999999999999998</v>
      </c>
      <c r="D74">
        <v>3.8</v>
      </c>
      <c r="E74">
        <v>79.7</v>
      </c>
      <c r="F74">
        <v>2.2000000000000002</v>
      </c>
    </row>
    <row r="75" spans="1:6" x14ac:dyDescent="0.25">
      <c r="A75">
        <v>74</v>
      </c>
      <c r="B75">
        <v>14</v>
      </c>
      <c r="C75">
        <v>2</v>
      </c>
      <c r="D75">
        <v>5</v>
      </c>
      <c r="E75">
        <v>77.2</v>
      </c>
      <c r="F75">
        <v>2.6</v>
      </c>
    </row>
    <row r="76" spans="1:6" x14ac:dyDescent="0.25">
      <c r="A76">
        <v>75</v>
      </c>
      <c r="B76">
        <v>17</v>
      </c>
      <c r="C76">
        <v>1.9</v>
      </c>
      <c r="D76">
        <v>5.2</v>
      </c>
      <c r="E76">
        <v>66.5</v>
      </c>
      <c r="F76">
        <v>2.6</v>
      </c>
    </row>
    <row r="77" spans="1:6" x14ac:dyDescent="0.25">
      <c r="A77">
        <v>76</v>
      </c>
      <c r="B77">
        <v>14</v>
      </c>
      <c r="C77">
        <v>1.7</v>
      </c>
      <c r="D77">
        <v>4.2</v>
      </c>
      <c r="E77">
        <v>65.7</v>
      </c>
      <c r="F77">
        <v>2.2999999999999998</v>
      </c>
    </row>
    <row r="78" spans="1:6" x14ac:dyDescent="0.25">
      <c r="A78">
        <v>77</v>
      </c>
      <c r="B78">
        <v>13</v>
      </c>
      <c r="C78">
        <v>0.2</v>
      </c>
      <c r="D78">
        <v>2.2000000000000002</v>
      </c>
      <c r="E78">
        <v>69.5</v>
      </c>
      <c r="F78">
        <v>1.6</v>
      </c>
    </row>
    <row r="79" spans="1:6" x14ac:dyDescent="0.25">
      <c r="A79">
        <v>78</v>
      </c>
      <c r="B79">
        <v>16</v>
      </c>
      <c r="C79">
        <v>2.2000000000000002</v>
      </c>
      <c r="D79">
        <v>4.3</v>
      </c>
      <c r="E79">
        <v>88.4</v>
      </c>
      <c r="F79">
        <v>1.2</v>
      </c>
    </row>
    <row r="80" spans="1:6" x14ac:dyDescent="0.25">
      <c r="A80">
        <v>79</v>
      </c>
      <c r="B80">
        <v>16</v>
      </c>
      <c r="C80">
        <v>3.6</v>
      </c>
      <c r="D80">
        <v>6.1</v>
      </c>
      <c r="E80">
        <v>65.900000000000006</v>
      </c>
      <c r="F80">
        <v>1.6</v>
      </c>
    </row>
    <row r="81" spans="1:6" x14ac:dyDescent="0.25">
      <c r="A81">
        <v>80</v>
      </c>
      <c r="B81">
        <v>16</v>
      </c>
      <c r="C81">
        <v>2.2000000000000002</v>
      </c>
      <c r="D81">
        <v>3.3</v>
      </c>
      <c r="E81">
        <v>72.599999999999994</v>
      </c>
      <c r="F81">
        <v>1.1000000000000001</v>
      </c>
    </row>
    <row r="82" spans="1:6" x14ac:dyDescent="0.25">
      <c r="A82">
        <v>81</v>
      </c>
      <c r="B82">
        <v>17</v>
      </c>
      <c r="C82">
        <v>3.1</v>
      </c>
      <c r="D82">
        <v>4.5</v>
      </c>
      <c r="E82">
        <v>47.6</v>
      </c>
      <c r="F82">
        <v>0</v>
      </c>
    </row>
    <row r="83" spans="1:6" x14ac:dyDescent="0.25">
      <c r="A83">
        <v>82</v>
      </c>
      <c r="B83">
        <v>13</v>
      </c>
      <c r="C83">
        <v>1.4</v>
      </c>
      <c r="D83">
        <v>4</v>
      </c>
      <c r="E83">
        <v>76.8</v>
      </c>
      <c r="F83">
        <v>1.3</v>
      </c>
    </row>
    <row r="84" spans="1:6" x14ac:dyDescent="0.25">
      <c r="A84">
        <v>83</v>
      </c>
      <c r="B84">
        <v>17</v>
      </c>
      <c r="C84">
        <v>1.2</v>
      </c>
      <c r="D84">
        <v>6.1</v>
      </c>
      <c r="E84">
        <v>92.6</v>
      </c>
      <c r="F84">
        <v>1.8</v>
      </c>
    </row>
    <row r="85" spans="1:6" x14ac:dyDescent="0.25">
      <c r="A85">
        <v>84</v>
      </c>
      <c r="B85">
        <v>17</v>
      </c>
      <c r="C85">
        <v>1.7</v>
      </c>
      <c r="D85">
        <v>3</v>
      </c>
      <c r="E85">
        <v>60.7</v>
      </c>
      <c r="F85">
        <v>1</v>
      </c>
    </row>
    <row r="86" spans="1:6" x14ac:dyDescent="0.25">
      <c r="A86">
        <v>85</v>
      </c>
      <c r="B86">
        <v>13</v>
      </c>
      <c r="C86">
        <v>1.5</v>
      </c>
      <c r="D86">
        <v>5.7</v>
      </c>
      <c r="E86">
        <v>100</v>
      </c>
      <c r="F86">
        <v>1.3</v>
      </c>
    </row>
    <row r="87" spans="1:6" x14ac:dyDescent="0.25">
      <c r="A87">
        <v>86</v>
      </c>
      <c r="B87">
        <v>13</v>
      </c>
      <c r="C87">
        <v>1.3</v>
      </c>
      <c r="D87">
        <v>3.4</v>
      </c>
      <c r="E87">
        <v>71.8</v>
      </c>
      <c r="F87">
        <v>1.4</v>
      </c>
    </row>
    <row r="88" spans="1:6" x14ac:dyDescent="0.25">
      <c r="A88">
        <v>87</v>
      </c>
      <c r="B88">
        <v>13</v>
      </c>
      <c r="C88">
        <v>2.9</v>
      </c>
      <c r="D88">
        <v>3</v>
      </c>
      <c r="E88">
        <v>44.3</v>
      </c>
      <c r="F88">
        <v>2.6</v>
      </c>
    </row>
    <row r="89" spans="1:6" x14ac:dyDescent="0.25">
      <c r="A89">
        <v>88</v>
      </c>
      <c r="B89">
        <v>13</v>
      </c>
      <c r="C89">
        <v>4.3</v>
      </c>
      <c r="D89">
        <v>4.2</v>
      </c>
      <c r="E89">
        <v>66.099999999999994</v>
      </c>
      <c r="F89">
        <v>1.2</v>
      </c>
    </row>
    <row r="90" spans="1:6" x14ac:dyDescent="0.25">
      <c r="A90">
        <v>89</v>
      </c>
      <c r="B90">
        <v>16</v>
      </c>
      <c r="C90">
        <v>1.8</v>
      </c>
      <c r="D90">
        <v>4.5</v>
      </c>
      <c r="E90">
        <v>83.3</v>
      </c>
      <c r="F90">
        <v>2.6</v>
      </c>
    </row>
    <row r="91" spans="1:6" x14ac:dyDescent="0.25">
      <c r="A91">
        <v>90</v>
      </c>
      <c r="B91">
        <v>15</v>
      </c>
      <c r="D91">
        <v>6.9</v>
      </c>
      <c r="E91">
        <v>90</v>
      </c>
      <c r="F91">
        <v>0</v>
      </c>
    </row>
    <row r="92" spans="1:6" x14ac:dyDescent="0.25">
      <c r="A92">
        <v>91</v>
      </c>
      <c r="B92">
        <v>15</v>
      </c>
      <c r="C92">
        <v>3.2</v>
      </c>
      <c r="D92">
        <v>4.5</v>
      </c>
      <c r="E92">
        <v>77.2</v>
      </c>
      <c r="F92">
        <v>2.6</v>
      </c>
    </row>
    <row r="93" spans="1:6" x14ac:dyDescent="0.25">
      <c r="A93">
        <v>92</v>
      </c>
      <c r="B93">
        <v>13</v>
      </c>
      <c r="C93">
        <v>1.1000000000000001</v>
      </c>
      <c r="D93">
        <v>4.3</v>
      </c>
      <c r="E93">
        <v>85.7</v>
      </c>
      <c r="F93">
        <v>2.5</v>
      </c>
    </row>
    <row r="94" spans="1:6" x14ac:dyDescent="0.25">
      <c r="A94">
        <v>93</v>
      </c>
      <c r="B94">
        <v>15</v>
      </c>
      <c r="C94">
        <v>1.3</v>
      </c>
      <c r="D94">
        <v>6.4</v>
      </c>
      <c r="E94">
        <v>58.2</v>
      </c>
      <c r="F94">
        <v>2.2000000000000002</v>
      </c>
    </row>
    <row r="95" spans="1:6" x14ac:dyDescent="0.25">
      <c r="A95">
        <v>94</v>
      </c>
      <c r="B95">
        <v>15</v>
      </c>
      <c r="C95">
        <v>3</v>
      </c>
      <c r="D95">
        <v>4.9000000000000004</v>
      </c>
      <c r="E95">
        <v>63.2</v>
      </c>
      <c r="F95">
        <v>0</v>
      </c>
    </row>
    <row r="96" spans="1:6" x14ac:dyDescent="0.25">
      <c r="A96">
        <v>95</v>
      </c>
      <c r="B96">
        <v>13</v>
      </c>
      <c r="C96">
        <v>2.2999999999999998</v>
      </c>
      <c r="D96">
        <v>3</v>
      </c>
      <c r="E96">
        <v>53.2</v>
      </c>
      <c r="F96">
        <v>2.2999999999999998</v>
      </c>
    </row>
    <row r="97" spans="1:6" x14ac:dyDescent="0.25">
      <c r="A97">
        <v>96</v>
      </c>
      <c r="B97">
        <v>15</v>
      </c>
      <c r="C97">
        <v>1.8</v>
      </c>
      <c r="D97">
        <v>6</v>
      </c>
      <c r="E97">
        <v>63.9</v>
      </c>
      <c r="F97">
        <v>1.5</v>
      </c>
    </row>
    <row r="98" spans="1:6" x14ac:dyDescent="0.25">
      <c r="A98">
        <v>97</v>
      </c>
      <c r="B98">
        <v>17</v>
      </c>
      <c r="C98">
        <v>2.6</v>
      </c>
      <c r="D98">
        <v>2.9</v>
      </c>
      <c r="E98">
        <v>77.599999999999994</v>
      </c>
      <c r="F98">
        <v>0</v>
      </c>
    </row>
    <row r="99" spans="1:6" x14ac:dyDescent="0.25">
      <c r="A99">
        <v>98</v>
      </c>
      <c r="B99">
        <v>14</v>
      </c>
      <c r="C99">
        <v>2.1</v>
      </c>
      <c r="D99">
        <v>3</v>
      </c>
      <c r="E99">
        <v>72.099999999999994</v>
      </c>
      <c r="F99">
        <v>2.5</v>
      </c>
    </row>
    <row r="100" spans="1:6" x14ac:dyDescent="0.25">
      <c r="A100">
        <v>99</v>
      </c>
      <c r="B100">
        <v>14</v>
      </c>
      <c r="C100">
        <v>4.4000000000000004</v>
      </c>
      <c r="D100">
        <v>2.7</v>
      </c>
      <c r="E100">
        <v>78.7</v>
      </c>
      <c r="F100">
        <v>2.7</v>
      </c>
    </row>
    <row r="101" spans="1:6" x14ac:dyDescent="0.25">
      <c r="A101">
        <v>100</v>
      </c>
      <c r="B101">
        <v>13</v>
      </c>
      <c r="C101">
        <v>1.8</v>
      </c>
      <c r="D101">
        <v>2.6</v>
      </c>
      <c r="E101">
        <v>60.6</v>
      </c>
      <c r="F101">
        <v>0</v>
      </c>
    </row>
    <row r="102" spans="1:6" x14ac:dyDescent="0.25">
      <c r="A102">
        <v>101</v>
      </c>
      <c r="B102">
        <v>16</v>
      </c>
      <c r="C102">
        <v>1.6</v>
      </c>
      <c r="D102">
        <v>4.5</v>
      </c>
      <c r="E102">
        <v>61.2</v>
      </c>
      <c r="F102">
        <v>1.6</v>
      </c>
    </row>
    <row r="103" spans="1:6" x14ac:dyDescent="0.25">
      <c r="A103">
        <v>102</v>
      </c>
      <c r="B103">
        <v>13</v>
      </c>
      <c r="C103">
        <v>2</v>
      </c>
      <c r="D103">
        <v>3.6</v>
      </c>
      <c r="E103">
        <v>72</v>
      </c>
      <c r="F103">
        <v>2.6</v>
      </c>
    </row>
    <row r="104" spans="1:6" x14ac:dyDescent="0.25">
      <c r="A104">
        <v>103</v>
      </c>
      <c r="B104">
        <v>16</v>
      </c>
      <c r="C104">
        <v>2.1</v>
      </c>
      <c r="D104">
        <v>0</v>
      </c>
      <c r="E104">
        <v>64</v>
      </c>
      <c r="F104">
        <v>2.5</v>
      </c>
    </row>
    <row r="105" spans="1:6" x14ac:dyDescent="0.25">
      <c r="A105">
        <v>104</v>
      </c>
      <c r="B105">
        <v>14</v>
      </c>
      <c r="D105">
        <v>3.6</v>
      </c>
      <c r="E105">
        <v>83</v>
      </c>
      <c r="F105">
        <v>2.2000000000000002</v>
      </c>
    </row>
    <row r="106" spans="1:6" x14ac:dyDescent="0.25">
      <c r="A106">
        <v>105</v>
      </c>
      <c r="B106">
        <v>13</v>
      </c>
      <c r="C106">
        <v>0.5</v>
      </c>
      <c r="D106">
        <v>3.2</v>
      </c>
      <c r="E106">
        <v>63.7</v>
      </c>
      <c r="F106">
        <v>0</v>
      </c>
    </row>
    <row r="107" spans="1:6" x14ac:dyDescent="0.25">
      <c r="A107">
        <v>106</v>
      </c>
      <c r="B107">
        <v>17</v>
      </c>
      <c r="C107">
        <v>2.9</v>
      </c>
      <c r="D107">
        <v>5.3</v>
      </c>
      <c r="E107">
        <v>65</v>
      </c>
      <c r="F107">
        <v>2.1</v>
      </c>
    </row>
    <row r="108" spans="1:6" x14ac:dyDescent="0.25">
      <c r="A108">
        <v>107</v>
      </c>
      <c r="B108">
        <v>15</v>
      </c>
      <c r="C108">
        <v>2</v>
      </c>
      <c r="D108">
        <v>3.2</v>
      </c>
      <c r="E108">
        <v>74.2</v>
      </c>
      <c r="F108">
        <v>1.3</v>
      </c>
    </row>
    <row r="109" spans="1:6" x14ac:dyDescent="0.25">
      <c r="A109">
        <v>108</v>
      </c>
      <c r="B109">
        <v>16</v>
      </c>
      <c r="C109">
        <v>3.3</v>
      </c>
      <c r="D109">
        <v>7.8</v>
      </c>
      <c r="E109">
        <v>66.099999999999994</v>
      </c>
      <c r="F109">
        <v>2.2999999999999998</v>
      </c>
    </row>
    <row r="110" spans="1:6" x14ac:dyDescent="0.25">
      <c r="A110">
        <v>109</v>
      </c>
      <c r="B110">
        <v>15</v>
      </c>
      <c r="C110">
        <v>2.5</v>
      </c>
      <c r="D110">
        <v>6.1</v>
      </c>
      <c r="E110">
        <v>57.7</v>
      </c>
      <c r="F110">
        <v>1.7</v>
      </c>
    </row>
    <row r="111" spans="1:6" x14ac:dyDescent="0.25">
      <c r="A111">
        <v>110</v>
      </c>
      <c r="B111">
        <v>15</v>
      </c>
      <c r="C111">
        <v>3</v>
      </c>
      <c r="D111">
        <v>3.4</v>
      </c>
      <c r="E111">
        <v>59</v>
      </c>
      <c r="F111">
        <v>1.5</v>
      </c>
    </row>
    <row r="112" spans="1:6" x14ac:dyDescent="0.25">
      <c r="A112">
        <v>111</v>
      </c>
      <c r="B112">
        <v>13</v>
      </c>
      <c r="C112">
        <v>2.1</v>
      </c>
      <c r="D112">
        <v>5.7</v>
      </c>
      <c r="E112">
        <v>75.400000000000006</v>
      </c>
      <c r="F112">
        <v>2</v>
      </c>
    </row>
    <row r="113" spans="1:6" x14ac:dyDescent="0.25">
      <c r="A113">
        <v>112</v>
      </c>
      <c r="B113">
        <v>15</v>
      </c>
      <c r="C113">
        <v>2.9</v>
      </c>
      <c r="E113">
        <v>56.4</v>
      </c>
      <c r="F113">
        <v>1.4</v>
      </c>
    </row>
    <row r="114" spans="1:6" x14ac:dyDescent="0.25">
      <c r="A114">
        <v>113</v>
      </c>
      <c r="B114">
        <v>17</v>
      </c>
      <c r="C114">
        <v>4.2</v>
      </c>
      <c r="D114">
        <v>4.4000000000000004</v>
      </c>
      <c r="E114">
        <v>84</v>
      </c>
      <c r="F114">
        <v>1.5</v>
      </c>
    </row>
    <row r="115" spans="1:6" x14ac:dyDescent="0.25">
      <c r="A115">
        <v>114</v>
      </c>
      <c r="B115">
        <v>15</v>
      </c>
      <c r="C115">
        <v>1.8</v>
      </c>
      <c r="D115">
        <v>5.2</v>
      </c>
      <c r="E115">
        <v>63.1</v>
      </c>
      <c r="F115">
        <v>1.1000000000000001</v>
      </c>
    </row>
    <row r="116" spans="1:6" x14ac:dyDescent="0.25">
      <c r="A116">
        <v>115</v>
      </c>
      <c r="B116">
        <v>13</v>
      </c>
      <c r="C116">
        <v>2.4</v>
      </c>
      <c r="D116">
        <v>4.0999999999999996</v>
      </c>
      <c r="E116">
        <v>76.2</v>
      </c>
      <c r="F116">
        <v>0.2</v>
      </c>
    </row>
    <row r="117" spans="1:6" x14ac:dyDescent="0.25">
      <c r="A117">
        <v>116</v>
      </c>
      <c r="B117">
        <v>17</v>
      </c>
      <c r="C117">
        <v>2</v>
      </c>
      <c r="D117">
        <v>4.4000000000000004</v>
      </c>
      <c r="E117">
        <v>63.7</v>
      </c>
      <c r="F117">
        <v>2</v>
      </c>
    </row>
    <row r="118" spans="1:6" x14ac:dyDescent="0.25">
      <c r="A118">
        <v>117</v>
      </c>
      <c r="B118">
        <v>14</v>
      </c>
      <c r="C118">
        <v>4.0999999999999996</v>
      </c>
      <c r="D118">
        <v>5.2</v>
      </c>
      <c r="E118">
        <v>60.8</v>
      </c>
      <c r="F118">
        <v>0.9</v>
      </c>
    </row>
    <row r="119" spans="1:6" x14ac:dyDescent="0.25">
      <c r="A119">
        <v>118</v>
      </c>
      <c r="B119">
        <v>15</v>
      </c>
      <c r="C119">
        <v>2.1</v>
      </c>
      <c r="D119">
        <v>7.1</v>
      </c>
      <c r="E119">
        <v>72.5</v>
      </c>
      <c r="F119">
        <v>1.3</v>
      </c>
    </row>
    <row r="120" spans="1:6" x14ac:dyDescent="0.25">
      <c r="A120">
        <v>119</v>
      </c>
      <c r="B120">
        <v>13</v>
      </c>
      <c r="C120">
        <v>1.8</v>
      </c>
      <c r="D120">
        <v>4.4000000000000004</v>
      </c>
      <c r="E120">
        <v>80.5</v>
      </c>
      <c r="F120">
        <v>1.7</v>
      </c>
    </row>
    <row r="121" spans="1:6" x14ac:dyDescent="0.25">
      <c r="A121">
        <v>120</v>
      </c>
      <c r="B121">
        <v>14</v>
      </c>
      <c r="C121">
        <v>1.9</v>
      </c>
      <c r="D121">
        <v>3.3</v>
      </c>
      <c r="E121">
        <v>67.5</v>
      </c>
      <c r="F121">
        <v>0</v>
      </c>
    </row>
    <row r="122" spans="1:6" x14ac:dyDescent="0.25">
      <c r="A122">
        <v>121</v>
      </c>
      <c r="B122">
        <v>14</v>
      </c>
      <c r="C122">
        <v>2.4</v>
      </c>
      <c r="D122">
        <v>1</v>
      </c>
      <c r="E122">
        <v>69.3</v>
      </c>
      <c r="F122">
        <v>0</v>
      </c>
    </row>
    <row r="123" spans="1:6" x14ac:dyDescent="0.25">
      <c r="A123">
        <v>122</v>
      </c>
      <c r="B123">
        <v>16</v>
      </c>
      <c r="C123">
        <v>1.7</v>
      </c>
      <c r="D123">
        <v>6.9</v>
      </c>
      <c r="E123">
        <v>78.099999999999994</v>
      </c>
      <c r="F123">
        <v>1.3</v>
      </c>
    </row>
    <row r="124" spans="1:6" x14ac:dyDescent="0.25">
      <c r="A124">
        <v>123</v>
      </c>
      <c r="B124">
        <v>17</v>
      </c>
      <c r="C124">
        <v>2.1</v>
      </c>
      <c r="D124">
        <v>3.6</v>
      </c>
      <c r="E124">
        <v>78.400000000000006</v>
      </c>
      <c r="F124">
        <v>1.9</v>
      </c>
    </row>
    <row r="125" spans="1:6" x14ac:dyDescent="0.25">
      <c r="A125">
        <v>124</v>
      </c>
      <c r="B125">
        <v>15</v>
      </c>
      <c r="C125">
        <v>2.7</v>
      </c>
      <c r="D125">
        <v>4.8</v>
      </c>
      <c r="E125">
        <v>69.599999999999994</v>
      </c>
      <c r="F125">
        <v>2.1</v>
      </c>
    </row>
    <row r="126" spans="1:6" x14ac:dyDescent="0.25">
      <c r="A126">
        <v>125</v>
      </c>
      <c r="B126">
        <v>13</v>
      </c>
      <c r="C126">
        <v>2.4</v>
      </c>
      <c r="D126">
        <v>6.9</v>
      </c>
      <c r="E126">
        <v>65.599999999999994</v>
      </c>
      <c r="F126">
        <v>0.2</v>
      </c>
    </row>
    <row r="127" spans="1:6" x14ac:dyDescent="0.25">
      <c r="A127">
        <v>126</v>
      </c>
      <c r="B127">
        <v>16</v>
      </c>
      <c r="C127">
        <v>3.3</v>
      </c>
      <c r="D127">
        <v>4.3</v>
      </c>
      <c r="E127">
        <v>70.8</v>
      </c>
      <c r="F127">
        <v>2</v>
      </c>
    </row>
    <row r="128" spans="1:6" x14ac:dyDescent="0.25">
      <c r="A128">
        <v>127</v>
      </c>
      <c r="B128">
        <v>17</v>
      </c>
      <c r="C128">
        <v>2.2000000000000002</v>
      </c>
      <c r="D128">
        <v>3.7</v>
      </c>
      <c r="E128">
        <v>68.099999999999994</v>
      </c>
      <c r="F128">
        <v>1.3</v>
      </c>
    </row>
    <row r="129" spans="1:6" x14ac:dyDescent="0.25">
      <c r="A129">
        <v>128</v>
      </c>
      <c r="B129">
        <v>16</v>
      </c>
      <c r="C129">
        <v>2.2999999999999998</v>
      </c>
      <c r="D129">
        <v>6.1</v>
      </c>
      <c r="E129">
        <v>73.099999999999994</v>
      </c>
      <c r="F129">
        <v>0.8</v>
      </c>
    </row>
    <row r="130" spans="1:6" x14ac:dyDescent="0.25">
      <c r="A130">
        <v>129</v>
      </c>
      <c r="B130">
        <v>17</v>
      </c>
      <c r="C130">
        <v>2.8</v>
      </c>
      <c r="D130">
        <v>4.7</v>
      </c>
      <c r="E130">
        <v>58.1</v>
      </c>
      <c r="F130">
        <v>1</v>
      </c>
    </row>
    <row r="131" spans="1:6" x14ac:dyDescent="0.25">
      <c r="A131">
        <v>130</v>
      </c>
      <c r="B131">
        <v>17</v>
      </c>
      <c r="C131">
        <v>4.7</v>
      </c>
      <c r="D131">
        <v>4.9000000000000004</v>
      </c>
      <c r="E131">
        <v>72.8</v>
      </c>
      <c r="F131">
        <v>2.1</v>
      </c>
    </row>
    <row r="132" spans="1:6" x14ac:dyDescent="0.25">
      <c r="A132">
        <v>131</v>
      </c>
      <c r="B132">
        <v>15</v>
      </c>
      <c r="C132">
        <v>1.7</v>
      </c>
      <c r="D132">
        <v>1.7</v>
      </c>
      <c r="E132">
        <v>62.8</v>
      </c>
      <c r="F132">
        <v>1.7</v>
      </c>
    </row>
    <row r="133" spans="1:6" x14ac:dyDescent="0.25">
      <c r="A133">
        <v>132</v>
      </c>
      <c r="B133">
        <v>17</v>
      </c>
      <c r="C133">
        <v>4.4000000000000004</v>
      </c>
      <c r="D133">
        <v>5.8</v>
      </c>
      <c r="E133">
        <v>79.099999999999994</v>
      </c>
      <c r="F133">
        <v>1.5</v>
      </c>
    </row>
    <row r="134" spans="1:6" x14ac:dyDescent="0.25">
      <c r="A134">
        <v>133</v>
      </c>
      <c r="B134">
        <v>16</v>
      </c>
      <c r="C134">
        <v>1.3</v>
      </c>
      <c r="D134">
        <v>4.5999999999999996</v>
      </c>
      <c r="E134">
        <v>63.3</v>
      </c>
      <c r="F134">
        <v>1.7</v>
      </c>
    </row>
    <row r="135" spans="1:6" x14ac:dyDescent="0.25">
      <c r="A135">
        <v>134</v>
      </c>
      <c r="B135">
        <v>17</v>
      </c>
      <c r="C135">
        <v>2.7</v>
      </c>
      <c r="D135">
        <v>1.9</v>
      </c>
      <c r="E135">
        <v>63.4</v>
      </c>
      <c r="F135">
        <v>2.2000000000000002</v>
      </c>
    </row>
    <row r="136" spans="1:6" x14ac:dyDescent="0.25">
      <c r="A136">
        <v>135</v>
      </c>
      <c r="B136">
        <v>15</v>
      </c>
      <c r="D136">
        <v>4.7</v>
      </c>
      <c r="E136">
        <v>74.5</v>
      </c>
      <c r="F136">
        <v>1.4</v>
      </c>
    </row>
    <row r="137" spans="1:6" x14ac:dyDescent="0.25">
      <c r="A137">
        <v>136</v>
      </c>
      <c r="B137">
        <v>15</v>
      </c>
      <c r="C137">
        <v>1.7</v>
      </c>
      <c r="D137">
        <v>0.9</v>
      </c>
      <c r="E137">
        <v>70.099999999999994</v>
      </c>
      <c r="F137">
        <v>1.5</v>
      </c>
    </row>
    <row r="138" spans="1:6" x14ac:dyDescent="0.25">
      <c r="A138">
        <v>137</v>
      </c>
      <c r="B138">
        <v>16</v>
      </c>
      <c r="C138">
        <v>3.2</v>
      </c>
      <c r="D138">
        <v>7.5</v>
      </c>
      <c r="E138">
        <v>92.8</v>
      </c>
      <c r="F138">
        <v>2.4</v>
      </c>
    </row>
    <row r="139" spans="1:6" x14ac:dyDescent="0.25">
      <c r="A139">
        <v>138</v>
      </c>
      <c r="B139">
        <v>14</v>
      </c>
      <c r="C139">
        <v>3.1</v>
      </c>
      <c r="D139">
        <v>2.2999999999999998</v>
      </c>
      <c r="F139">
        <v>1.2</v>
      </c>
    </row>
    <row r="140" spans="1:6" x14ac:dyDescent="0.25">
      <c r="A140">
        <v>139</v>
      </c>
      <c r="B140">
        <v>14</v>
      </c>
      <c r="C140">
        <v>2</v>
      </c>
      <c r="D140">
        <v>6.4</v>
      </c>
      <c r="E140">
        <v>71.099999999999994</v>
      </c>
      <c r="F140">
        <v>2</v>
      </c>
    </row>
    <row r="141" spans="1:6" x14ac:dyDescent="0.25">
      <c r="A141">
        <v>140</v>
      </c>
      <c r="B141">
        <v>17</v>
      </c>
      <c r="C141">
        <v>0.4</v>
      </c>
      <c r="D141">
        <v>2.8</v>
      </c>
      <c r="E141">
        <v>81.3</v>
      </c>
      <c r="F141">
        <v>1.1000000000000001</v>
      </c>
    </row>
    <row r="142" spans="1:6" x14ac:dyDescent="0.25">
      <c r="A142">
        <v>141</v>
      </c>
      <c r="B142">
        <v>13</v>
      </c>
      <c r="C142">
        <v>2.1</v>
      </c>
      <c r="D142">
        <v>4.8</v>
      </c>
      <c r="E142">
        <v>64.2</v>
      </c>
      <c r="F142">
        <v>1.2</v>
      </c>
    </row>
    <row r="143" spans="1:6" x14ac:dyDescent="0.25">
      <c r="A143">
        <v>142</v>
      </c>
      <c r="B143">
        <v>17</v>
      </c>
      <c r="C143">
        <v>2.6</v>
      </c>
      <c r="D143">
        <v>2.6</v>
      </c>
      <c r="E143">
        <v>60.9</v>
      </c>
      <c r="F143">
        <v>1.4</v>
      </c>
    </row>
    <row r="144" spans="1:6" x14ac:dyDescent="0.25">
      <c r="A144">
        <v>143</v>
      </c>
      <c r="B144">
        <v>16</v>
      </c>
      <c r="C144">
        <v>2.5</v>
      </c>
      <c r="D144">
        <v>5.5</v>
      </c>
      <c r="E144">
        <v>61.3</v>
      </c>
      <c r="F144">
        <v>1.9</v>
      </c>
    </row>
    <row r="145" spans="1:6" x14ac:dyDescent="0.25">
      <c r="A145">
        <v>144</v>
      </c>
      <c r="B145">
        <v>16</v>
      </c>
      <c r="C145">
        <v>3.3</v>
      </c>
      <c r="D145">
        <v>3.6</v>
      </c>
      <c r="E145">
        <v>53.9</v>
      </c>
      <c r="F145">
        <v>2.5</v>
      </c>
    </row>
    <row r="146" spans="1:6" x14ac:dyDescent="0.25">
      <c r="A146">
        <v>145</v>
      </c>
      <c r="B146">
        <v>16</v>
      </c>
      <c r="C146">
        <v>4.4000000000000004</v>
      </c>
      <c r="D146">
        <v>4.7</v>
      </c>
      <c r="E146">
        <v>83.5</v>
      </c>
      <c r="F146">
        <v>1.6</v>
      </c>
    </row>
    <row r="147" spans="1:6" x14ac:dyDescent="0.25">
      <c r="A147">
        <v>146</v>
      </c>
      <c r="B147">
        <v>16</v>
      </c>
      <c r="C147">
        <v>2.9</v>
      </c>
      <c r="D147">
        <v>4</v>
      </c>
      <c r="E147">
        <v>66.7</v>
      </c>
      <c r="F147">
        <v>0.3</v>
      </c>
    </row>
    <row r="148" spans="1:6" x14ac:dyDescent="0.25">
      <c r="A148">
        <v>147</v>
      </c>
      <c r="B148">
        <v>16</v>
      </c>
      <c r="C148">
        <v>3.1</v>
      </c>
      <c r="D148">
        <v>2</v>
      </c>
      <c r="E148">
        <v>65.5</v>
      </c>
      <c r="F148">
        <v>2</v>
      </c>
    </row>
    <row r="149" spans="1:6" x14ac:dyDescent="0.25">
      <c r="A149">
        <v>148</v>
      </c>
      <c r="B149">
        <v>15</v>
      </c>
      <c r="C149">
        <v>2.6</v>
      </c>
      <c r="D149">
        <v>4.8</v>
      </c>
      <c r="E149">
        <v>48.8</v>
      </c>
      <c r="F149">
        <v>3.5</v>
      </c>
    </row>
    <row r="150" spans="1:6" x14ac:dyDescent="0.25">
      <c r="A150">
        <v>149</v>
      </c>
      <c r="B150">
        <v>14</v>
      </c>
      <c r="C150">
        <v>3.7</v>
      </c>
      <c r="D150">
        <v>3.2</v>
      </c>
      <c r="E150">
        <v>55.7</v>
      </c>
      <c r="F150">
        <v>1.6</v>
      </c>
    </row>
    <row r="151" spans="1:6" x14ac:dyDescent="0.25">
      <c r="A151">
        <v>150</v>
      </c>
      <c r="B151">
        <v>16</v>
      </c>
      <c r="C151">
        <v>3</v>
      </c>
      <c r="D151">
        <v>5.6</v>
      </c>
      <c r="E151">
        <v>84.7</v>
      </c>
      <c r="F151">
        <v>0.1</v>
      </c>
    </row>
    <row r="152" spans="1:6" x14ac:dyDescent="0.25">
      <c r="A152">
        <v>151</v>
      </c>
      <c r="B152">
        <v>13</v>
      </c>
      <c r="C152">
        <v>3.2</v>
      </c>
      <c r="D152">
        <v>3.6</v>
      </c>
      <c r="E152">
        <v>73</v>
      </c>
      <c r="F152">
        <v>1.6</v>
      </c>
    </row>
    <row r="153" spans="1:6" x14ac:dyDescent="0.25">
      <c r="A153">
        <v>152</v>
      </c>
      <c r="B153">
        <v>13</v>
      </c>
      <c r="C153">
        <v>4.3</v>
      </c>
      <c r="D153">
        <v>3.9</v>
      </c>
      <c r="E153">
        <v>81.7</v>
      </c>
      <c r="F153">
        <v>1.5</v>
      </c>
    </row>
    <row r="154" spans="1:6" x14ac:dyDescent="0.25">
      <c r="A154">
        <v>153</v>
      </c>
      <c r="B154">
        <v>13</v>
      </c>
      <c r="C154">
        <v>2.7</v>
      </c>
      <c r="D154">
        <v>6.5</v>
      </c>
      <c r="E154">
        <v>80.400000000000006</v>
      </c>
      <c r="F154">
        <v>1.4</v>
      </c>
    </row>
    <row r="155" spans="1:6" x14ac:dyDescent="0.25">
      <c r="A155">
        <v>154</v>
      </c>
      <c r="B155">
        <v>13</v>
      </c>
      <c r="C155">
        <v>2.2000000000000002</v>
      </c>
      <c r="D155">
        <v>7.6</v>
      </c>
      <c r="E155">
        <v>60</v>
      </c>
      <c r="F155">
        <v>2.2999999999999998</v>
      </c>
    </row>
    <row r="156" spans="1:6" x14ac:dyDescent="0.25">
      <c r="A156">
        <v>155</v>
      </c>
      <c r="B156">
        <v>15</v>
      </c>
      <c r="C156">
        <v>2.9</v>
      </c>
      <c r="D156">
        <v>5.2</v>
      </c>
      <c r="E156">
        <v>94.3</v>
      </c>
      <c r="F156">
        <v>2.6</v>
      </c>
    </row>
    <row r="157" spans="1:6" x14ac:dyDescent="0.25">
      <c r="A157">
        <v>156</v>
      </c>
      <c r="B157">
        <v>13</v>
      </c>
      <c r="C157">
        <v>3.6</v>
      </c>
      <c r="D157">
        <v>3.6</v>
      </c>
      <c r="E157">
        <v>89.5</v>
      </c>
      <c r="F157">
        <v>2</v>
      </c>
    </row>
    <row r="158" spans="1:6" x14ac:dyDescent="0.25">
      <c r="A158">
        <v>157</v>
      </c>
      <c r="B158">
        <v>16</v>
      </c>
      <c r="C158">
        <v>3</v>
      </c>
      <c r="D158">
        <v>3.4</v>
      </c>
      <c r="E158">
        <v>64.400000000000006</v>
      </c>
      <c r="F158">
        <v>1.4</v>
      </c>
    </row>
    <row r="159" spans="1:6" x14ac:dyDescent="0.25">
      <c r="A159">
        <v>158</v>
      </c>
      <c r="B159">
        <v>17</v>
      </c>
      <c r="C159">
        <v>3.6</v>
      </c>
      <c r="D159">
        <v>2.8</v>
      </c>
      <c r="E159">
        <v>34.299999999999997</v>
      </c>
      <c r="F159">
        <v>2.4</v>
      </c>
    </row>
    <row r="160" spans="1:6" x14ac:dyDescent="0.25">
      <c r="A160">
        <v>159</v>
      </c>
      <c r="B160">
        <v>13</v>
      </c>
      <c r="C160">
        <v>1.8</v>
      </c>
      <c r="D160">
        <v>3.1</v>
      </c>
      <c r="E160">
        <v>66.400000000000006</v>
      </c>
      <c r="F160">
        <v>0.3</v>
      </c>
    </row>
    <row r="161" spans="1:6" x14ac:dyDescent="0.25">
      <c r="A161">
        <v>160</v>
      </c>
      <c r="B161">
        <v>15</v>
      </c>
      <c r="C161">
        <v>1.6</v>
      </c>
      <c r="D161">
        <v>3.6</v>
      </c>
      <c r="E161">
        <v>72.400000000000006</v>
      </c>
      <c r="F161">
        <v>0.9</v>
      </c>
    </row>
    <row r="162" spans="1:6" x14ac:dyDescent="0.25">
      <c r="A162">
        <v>161</v>
      </c>
      <c r="B162">
        <v>15</v>
      </c>
      <c r="C162">
        <v>2</v>
      </c>
      <c r="D162">
        <v>6.9</v>
      </c>
      <c r="E162">
        <v>64.3</v>
      </c>
      <c r="F162">
        <v>1</v>
      </c>
    </row>
    <row r="163" spans="1:6" x14ac:dyDescent="0.25">
      <c r="A163">
        <v>162</v>
      </c>
      <c r="B163">
        <v>13</v>
      </c>
      <c r="C163">
        <v>1.2</v>
      </c>
      <c r="D163">
        <v>3.7</v>
      </c>
      <c r="E163">
        <v>67.8</v>
      </c>
      <c r="F163">
        <v>1.5</v>
      </c>
    </row>
    <row r="164" spans="1:6" x14ac:dyDescent="0.25">
      <c r="A164">
        <v>163</v>
      </c>
      <c r="B164">
        <v>17</v>
      </c>
      <c r="C164">
        <v>2.6</v>
      </c>
      <c r="D164">
        <v>2.2000000000000002</v>
      </c>
      <c r="E164">
        <v>61.7</v>
      </c>
      <c r="F164">
        <v>1.9</v>
      </c>
    </row>
    <row r="165" spans="1:6" x14ac:dyDescent="0.25">
      <c r="A165">
        <v>164</v>
      </c>
      <c r="B165">
        <v>13</v>
      </c>
      <c r="C165">
        <v>2.1</v>
      </c>
      <c r="D165">
        <v>4.0999999999999996</v>
      </c>
      <c r="E165">
        <v>79.2</v>
      </c>
      <c r="F165">
        <v>1.3</v>
      </c>
    </row>
    <row r="166" spans="1:6" x14ac:dyDescent="0.25">
      <c r="A166">
        <v>165</v>
      </c>
      <c r="B166">
        <v>15</v>
      </c>
      <c r="C166">
        <v>3.7</v>
      </c>
      <c r="D166">
        <v>4.3</v>
      </c>
      <c r="E166">
        <v>70.599999999999994</v>
      </c>
      <c r="F166">
        <v>0.8</v>
      </c>
    </row>
    <row r="167" spans="1:6" x14ac:dyDescent="0.25">
      <c r="A167">
        <v>166</v>
      </c>
      <c r="B167">
        <v>14</v>
      </c>
      <c r="C167">
        <v>1.2</v>
      </c>
      <c r="D167">
        <v>4.0999999999999996</v>
      </c>
      <c r="E167">
        <v>79.5</v>
      </c>
      <c r="F167">
        <v>2.2999999999999998</v>
      </c>
    </row>
    <row r="168" spans="1:6" x14ac:dyDescent="0.25">
      <c r="A168">
        <v>167</v>
      </c>
      <c r="B168">
        <v>16</v>
      </c>
      <c r="C168">
        <v>4.0999999999999996</v>
      </c>
      <c r="D168">
        <v>5.2</v>
      </c>
      <c r="E168">
        <v>82.2</v>
      </c>
      <c r="F168">
        <v>1.3</v>
      </c>
    </row>
    <row r="169" spans="1:6" x14ac:dyDescent="0.25">
      <c r="A169">
        <v>168</v>
      </c>
      <c r="B169">
        <v>15</v>
      </c>
      <c r="C169">
        <v>1.5</v>
      </c>
      <c r="D169">
        <v>4.0999999999999996</v>
      </c>
      <c r="E169">
        <v>48.3</v>
      </c>
      <c r="F169">
        <v>1.6</v>
      </c>
    </row>
    <row r="170" spans="1:6" x14ac:dyDescent="0.25">
      <c r="A170">
        <v>169</v>
      </c>
      <c r="B170">
        <v>13</v>
      </c>
      <c r="C170">
        <v>1.3</v>
      </c>
      <c r="D170">
        <v>5.2</v>
      </c>
      <c r="E170">
        <v>62.3</v>
      </c>
      <c r="F170">
        <v>1.9</v>
      </c>
    </row>
    <row r="171" spans="1:6" x14ac:dyDescent="0.25">
      <c r="A171">
        <v>170</v>
      </c>
      <c r="B171">
        <v>16</v>
      </c>
      <c r="C171">
        <v>1.7</v>
      </c>
      <c r="D171">
        <v>2.8</v>
      </c>
      <c r="E171">
        <v>63.8</v>
      </c>
      <c r="F171">
        <v>1.5</v>
      </c>
    </row>
    <row r="172" spans="1:6" x14ac:dyDescent="0.25">
      <c r="A172">
        <v>171</v>
      </c>
      <c r="B172">
        <v>13</v>
      </c>
      <c r="C172">
        <v>4.5</v>
      </c>
      <c r="E172">
        <v>95.7</v>
      </c>
      <c r="F172">
        <v>1.5</v>
      </c>
    </row>
    <row r="173" spans="1:6" x14ac:dyDescent="0.25">
      <c r="A173">
        <v>172</v>
      </c>
      <c r="B173">
        <v>13</v>
      </c>
      <c r="C173">
        <v>2.5</v>
      </c>
      <c r="D173">
        <v>4.4000000000000004</v>
      </c>
      <c r="E173">
        <v>71.5</v>
      </c>
      <c r="F173">
        <v>2.2999999999999998</v>
      </c>
    </row>
    <row r="174" spans="1:6" x14ac:dyDescent="0.25">
      <c r="A174">
        <v>173</v>
      </c>
      <c r="B174">
        <v>14</v>
      </c>
      <c r="C174">
        <v>3</v>
      </c>
      <c r="D174">
        <v>4.5999999999999996</v>
      </c>
      <c r="F174">
        <v>1.6</v>
      </c>
    </row>
    <row r="175" spans="1:6" x14ac:dyDescent="0.25">
      <c r="A175">
        <v>174</v>
      </c>
      <c r="B175">
        <v>16</v>
      </c>
      <c r="C175">
        <v>2.2999999999999998</v>
      </c>
      <c r="D175">
        <v>2.8</v>
      </c>
      <c r="E175">
        <v>51.2</v>
      </c>
      <c r="F175">
        <v>2.2000000000000002</v>
      </c>
    </row>
    <row r="176" spans="1:6" x14ac:dyDescent="0.25">
      <c r="A176">
        <v>175</v>
      </c>
      <c r="B176">
        <v>16</v>
      </c>
      <c r="C176">
        <v>2.4</v>
      </c>
      <c r="D176">
        <v>4.7</v>
      </c>
      <c r="E176">
        <v>71.400000000000006</v>
      </c>
      <c r="F176">
        <v>1.9</v>
      </c>
    </row>
    <row r="177" spans="1:6" x14ac:dyDescent="0.25">
      <c r="A177">
        <v>176</v>
      </c>
      <c r="B177">
        <v>14</v>
      </c>
      <c r="C177">
        <v>2</v>
      </c>
      <c r="D177">
        <v>5</v>
      </c>
      <c r="E177">
        <v>79.8</v>
      </c>
      <c r="F177">
        <v>3.1</v>
      </c>
    </row>
    <row r="178" spans="1:6" x14ac:dyDescent="0.25">
      <c r="A178">
        <v>177</v>
      </c>
      <c r="B178">
        <v>15</v>
      </c>
      <c r="C178">
        <v>2.6</v>
      </c>
      <c r="D178">
        <v>2.2000000000000002</v>
      </c>
      <c r="E178">
        <v>78.599999999999994</v>
      </c>
      <c r="F178">
        <v>1.8</v>
      </c>
    </row>
    <row r="179" spans="1:6" x14ac:dyDescent="0.25">
      <c r="A179">
        <v>178</v>
      </c>
      <c r="B179">
        <v>13</v>
      </c>
      <c r="C179">
        <v>3</v>
      </c>
      <c r="D179">
        <v>1.5</v>
      </c>
      <c r="E179">
        <v>76.2</v>
      </c>
      <c r="F179">
        <v>2</v>
      </c>
    </row>
    <row r="180" spans="1:6" x14ac:dyDescent="0.25">
      <c r="A180">
        <v>179</v>
      </c>
      <c r="B180">
        <v>17</v>
      </c>
      <c r="C180">
        <v>4.2</v>
      </c>
      <c r="D180">
        <v>4.4000000000000004</v>
      </c>
      <c r="E180">
        <v>70.099999999999994</v>
      </c>
      <c r="F180">
        <v>2.4</v>
      </c>
    </row>
    <row r="181" spans="1:6" x14ac:dyDescent="0.25">
      <c r="A181">
        <v>180</v>
      </c>
      <c r="B181">
        <v>13</v>
      </c>
      <c r="C181">
        <v>0.6</v>
      </c>
      <c r="D181">
        <v>3.3</v>
      </c>
      <c r="E181">
        <v>70.599999999999994</v>
      </c>
      <c r="F181">
        <v>1.6</v>
      </c>
    </row>
    <row r="182" spans="1:6" x14ac:dyDescent="0.25">
      <c r="A182">
        <v>181</v>
      </c>
      <c r="B182">
        <v>13</v>
      </c>
      <c r="C182">
        <v>4.0999999999999996</v>
      </c>
      <c r="D182">
        <v>4.4000000000000004</v>
      </c>
      <c r="E182">
        <v>53.1</v>
      </c>
      <c r="F182">
        <v>1</v>
      </c>
    </row>
    <row r="183" spans="1:6" x14ac:dyDescent="0.25">
      <c r="A183">
        <v>182</v>
      </c>
      <c r="B183">
        <v>15</v>
      </c>
      <c r="C183">
        <v>3</v>
      </c>
      <c r="D183">
        <v>2.1</v>
      </c>
      <c r="E183">
        <v>61</v>
      </c>
      <c r="F183">
        <v>1.1000000000000001</v>
      </c>
    </row>
    <row r="184" spans="1:6" x14ac:dyDescent="0.25">
      <c r="A184">
        <v>183</v>
      </c>
      <c r="B184">
        <v>13</v>
      </c>
      <c r="C184">
        <v>2.1</v>
      </c>
      <c r="D184">
        <v>1.7</v>
      </c>
      <c r="E184">
        <v>72.3</v>
      </c>
      <c r="F184">
        <v>1.1000000000000001</v>
      </c>
    </row>
    <row r="185" spans="1:6" x14ac:dyDescent="0.25">
      <c r="A185">
        <v>184</v>
      </c>
      <c r="B185">
        <v>14</v>
      </c>
      <c r="C185">
        <v>2</v>
      </c>
      <c r="D185">
        <v>4.3</v>
      </c>
      <c r="E185">
        <v>62.8</v>
      </c>
      <c r="F185">
        <v>0.7</v>
      </c>
    </row>
    <row r="186" spans="1:6" x14ac:dyDescent="0.25">
      <c r="A186">
        <v>185</v>
      </c>
      <c r="B186">
        <v>14</v>
      </c>
      <c r="C186">
        <v>3.5</v>
      </c>
      <c r="D186">
        <v>3.5</v>
      </c>
      <c r="E186">
        <v>76.900000000000006</v>
      </c>
      <c r="F186">
        <v>1.8</v>
      </c>
    </row>
    <row r="187" spans="1:6" x14ac:dyDescent="0.25">
      <c r="A187">
        <v>186</v>
      </c>
      <c r="B187">
        <v>16</v>
      </c>
      <c r="C187">
        <v>2.7</v>
      </c>
      <c r="E187">
        <v>74.7</v>
      </c>
      <c r="F187">
        <v>1</v>
      </c>
    </row>
    <row r="188" spans="1:6" x14ac:dyDescent="0.25">
      <c r="A188">
        <v>187</v>
      </c>
      <c r="B188">
        <v>17</v>
      </c>
      <c r="C188">
        <v>1</v>
      </c>
      <c r="D188">
        <v>6</v>
      </c>
      <c r="E188">
        <v>83.7</v>
      </c>
      <c r="F188">
        <v>1.7</v>
      </c>
    </row>
    <row r="189" spans="1:6" x14ac:dyDescent="0.25">
      <c r="A189">
        <v>188</v>
      </c>
      <c r="B189">
        <v>13</v>
      </c>
      <c r="C189">
        <v>2.9</v>
      </c>
      <c r="D189">
        <v>2</v>
      </c>
      <c r="E189">
        <v>79.599999999999994</v>
      </c>
      <c r="F189">
        <v>1.4</v>
      </c>
    </row>
    <row r="190" spans="1:6" x14ac:dyDescent="0.25">
      <c r="A190">
        <v>189</v>
      </c>
      <c r="B190">
        <v>13</v>
      </c>
      <c r="C190">
        <v>3.6</v>
      </c>
      <c r="D190">
        <v>7.9</v>
      </c>
      <c r="E190">
        <v>72.3</v>
      </c>
      <c r="F190">
        <v>1.5</v>
      </c>
    </row>
    <row r="191" spans="1:6" x14ac:dyDescent="0.25">
      <c r="A191">
        <v>190</v>
      </c>
      <c r="B191">
        <v>15</v>
      </c>
      <c r="C191">
        <v>3.4</v>
      </c>
      <c r="D191">
        <v>3.1</v>
      </c>
      <c r="E191">
        <v>77.5</v>
      </c>
      <c r="F191">
        <v>1.9</v>
      </c>
    </row>
    <row r="192" spans="1:6" x14ac:dyDescent="0.25">
      <c r="A192">
        <v>191</v>
      </c>
      <c r="B192">
        <v>14</v>
      </c>
      <c r="C192">
        <v>1.9</v>
      </c>
      <c r="D192">
        <v>4.5999999999999996</v>
      </c>
      <c r="E192">
        <v>80.099999999999994</v>
      </c>
      <c r="F192">
        <v>1.1000000000000001</v>
      </c>
    </row>
    <row r="193" spans="1:6" x14ac:dyDescent="0.25">
      <c r="A193">
        <v>192</v>
      </c>
      <c r="B193">
        <v>17</v>
      </c>
      <c r="C193">
        <v>1.2</v>
      </c>
      <c r="D193">
        <v>6.5</v>
      </c>
      <c r="E193">
        <v>64.900000000000006</v>
      </c>
      <c r="F193">
        <v>2</v>
      </c>
    </row>
    <row r="194" spans="1:6" x14ac:dyDescent="0.25">
      <c r="A194">
        <v>193</v>
      </c>
      <c r="B194">
        <v>16</v>
      </c>
      <c r="C194">
        <v>2.2000000000000002</v>
      </c>
      <c r="D194">
        <v>6.2</v>
      </c>
      <c r="E194">
        <v>66.7</v>
      </c>
      <c r="F194">
        <v>2.8</v>
      </c>
    </row>
    <row r="195" spans="1:6" x14ac:dyDescent="0.25">
      <c r="A195">
        <v>194</v>
      </c>
      <c r="B195">
        <v>14</v>
      </c>
      <c r="C195">
        <v>5.8</v>
      </c>
      <c r="D195">
        <v>7</v>
      </c>
      <c r="E195">
        <v>69</v>
      </c>
      <c r="F195">
        <v>1.8</v>
      </c>
    </row>
    <row r="196" spans="1:6" x14ac:dyDescent="0.25">
      <c r="A196">
        <v>195</v>
      </c>
      <c r="B196">
        <v>16</v>
      </c>
      <c r="C196">
        <v>1</v>
      </c>
      <c r="D196">
        <v>1.7</v>
      </c>
      <c r="E196">
        <v>65.2</v>
      </c>
      <c r="F196">
        <v>0.9</v>
      </c>
    </row>
    <row r="197" spans="1:6" x14ac:dyDescent="0.25">
      <c r="A197">
        <v>196</v>
      </c>
      <c r="B197">
        <v>15</v>
      </c>
      <c r="C197">
        <v>1.7</v>
      </c>
      <c r="D197">
        <v>2.2999999999999998</v>
      </c>
      <c r="E197">
        <v>80.2</v>
      </c>
      <c r="F197">
        <v>1</v>
      </c>
    </row>
    <row r="198" spans="1:6" x14ac:dyDescent="0.25">
      <c r="A198">
        <v>197</v>
      </c>
      <c r="B198">
        <v>15</v>
      </c>
      <c r="C198">
        <v>2.9</v>
      </c>
      <c r="D198">
        <v>4.3</v>
      </c>
      <c r="E198">
        <v>63.7</v>
      </c>
      <c r="F198">
        <v>1.3</v>
      </c>
    </row>
    <row r="199" spans="1:6" x14ac:dyDescent="0.25">
      <c r="A199">
        <v>198</v>
      </c>
      <c r="B199">
        <v>13</v>
      </c>
      <c r="C199">
        <v>2.4</v>
      </c>
      <c r="D199">
        <v>5.3</v>
      </c>
      <c r="E199">
        <v>82.5</v>
      </c>
      <c r="F199">
        <v>1</v>
      </c>
    </row>
    <row r="200" spans="1:6" x14ac:dyDescent="0.25">
      <c r="A200">
        <v>199</v>
      </c>
      <c r="B200">
        <v>17</v>
      </c>
      <c r="C200">
        <v>2.2999999999999998</v>
      </c>
      <c r="D200">
        <v>4</v>
      </c>
      <c r="E200">
        <v>66.3</v>
      </c>
      <c r="F200">
        <v>0.7</v>
      </c>
    </row>
    <row r="201" spans="1:6" x14ac:dyDescent="0.25">
      <c r="A201">
        <v>200</v>
      </c>
      <c r="B201">
        <v>16</v>
      </c>
      <c r="C201">
        <v>4.5</v>
      </c>
      <c r="D201">
        <v>1.5</v>
      </c>
      <c r="E201">
        <v>74.7</v>
      </c>
      <c r="F201">
        <v>1.6</v>
      </c>
    </row>
    <row r="202" spans="1:6" x14ac:dyDescent="0.25">
      <c r="A202">
        <v>132</v>
      </c>
      <c r="B202">
        <v>17</v>
      </c>
      <c r="C202">
        <v>4.4000000000000004</v>
      </c>
      <c r="D202">
        <v>5.8</v>
      </c>
      <c r="E202">
        <v>79.099999999999994</v>
      </c>
      <c r="F202">
        <v>1.5</v>
      </c>
    </row>
    <row r="203" spans="1:6" x14ac:dyDescent="0.25">
      <c r="A203">
        <v>46</v>
      </c>
      <c r="B203">
        <v>13</v>
      </c>
      <c r="C203">
        <v>1.8</v>
      </c>
      <c r="D203">
        <v>4.9000000000000004</v>
      </c>
      <c r="E203">
        <v>74.599999999999994</v>
      </c>
      <c r="F203">
        <v>1.6</v>
      </c>
    </row>
    <row r="204" spans="1:6" x14ac:dyDescent="0.25">
      <c r="A204">
        <v>129</v>
      </c>
      <c r="B204">
        <v>17</v>
      </c>
      <c r="C204">
        <v>2.8</v>
      </c>
      <c r="D204">
        <v>4.7</v>
      </c>
      <c r="E204">
        <v>58.1</v>
      </c>
      <c r="F204">
        <v>1</v>
      </c>
    </row>
    <row r="205" spans="1:6" x14ac:dyDescent="0.25">
      <c r="A205">
        <v>24</v>
      </c>
      <c r="B205">
        <v>13</v>
      </c>
      <c r="C205">
        <v>3.2</v>
      </c>
      <c r="D205">
        <v>2.6</v>
      </c>
      <c r="E205">
        <v>53.2</v>
      </c>
      <c r="F205">
        <v>0</v>
      </c>
    </row>
    <row r="206" spans="1:6" x14ac:dyDescent="0.25">
      <c r="A206">
        <v>39</v>
      </c>
      <c r="B206">
        <v>13</v>
      </c>
      <c r="C206">
        <v>2.4</v>
      </c>
      <c r="D206">
        <v>3.2</v>
      </c>
      <c r="E206">
        <v>76.7</v>
      </c>
      <c r="F206">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1"/>
  <sheetViews>
    <sheetView workbookViewId="0">
      <selection activeCell="I1" sqref="I1"/>
    </sheetView>
  </sheetViews>
  <sheetFormatPr defaultRowHeight="15" x14ac:dyDescent="0.25"/>
  <cols>
    <col min="1" max="1" width="13.140625" customWidth="1"/>
    <col min="2" max="2" width="6.7109375" customWidth="1"/>
    <col min="3" max="3" width="14.42578125" customWidth="1"/>
    <col min="4" max="4" width="14.7109375" customWidth="1"/>
    <col min="5" max="5" width="23.85546875" customWidth="1"/>
    <col min="6" max="6" width="13.7109375" customWidth="1"/>
    <col min="7" max="7" width="16.7109375" customWidth="1"/>
    <col min="8" max="8" width="17.42578125" customWidth="1"/>
    <col min="9" max="9" width="21.5703125" customWidth="1"/>
  </cols>
  <sheetData>
    <row r="1" spans="1:12" x14ac:dyDescent="0.25">
      <c r="A1" s="1" t="s">
        <v>0</v>
      </c>
      <c r="B1" s="1" t="s">
        <v>1</v>
      </c>
      <c r="C1" s="1" t="s">
        <v>2</v>
      </c>
      <c r="D1" s="1" t="s">
        <v>3</v>
      </c>
      <c r="E1" s="1" t="s">
        <v>5</v>
      </c>
      <c r="F1" s="1" t="s">
        <v>4</v>
      </c>
      <c r="G1" s="1" t="s">
        <v>6</v>
      </c>
      <c r="H1" s="1" t="s">
        <v>7</v>
      </c>
      <c r="I1" s="1" t="s">
        <v>28</v>
      </c>
      <c r="K1" t="s">
        <v>23</v>
      </c>
    </row>
    <row r="2" spans="1:12" x14ac:dyDescent="0.25">
      <c r="A2" s="1">
        <v>1</v>
      </c>
      <c r="B2" s="1">
        <v>16</v>
      </c>
      <c r="C2" s="1">
        <v>2.5</v>
      </c>
      <c r="D2" s="1">
        <v>2.7</v>
      </c>
      <c r="E2" s="1">
        <v>1.6</v>
      </c>
      <c r="F2" s="1">
        <v>75</v>
      </c>
      <c r="G2" s="1" t="s">
        <v>8</v>
      </c>
      <c r="H2" s="1">
        <v>30</v>
      </c>
      <c r="I2" s="1" t="s">
        <v>9</v>
      </c>
      <c r="K2">
        <f>AVERAGE(C2:C201)</f>
        <v>2.5469999999999993</v>
      </c>
    </row>
    <row r="3" spans="1:12" x14ac:dyDescent="0.25">
      <c r="A3" s="1">
        <v>2</v>
      </c>
      <c r="B3" s="1">
        <v>17</v>
      </c>
      <c r="C3" s="1">
        <v>2.7</v>
      </c>
      <c r="D3" s="1">
        <v>4</v>
      </c>
      <c r="E3" s="1">
        <v>0.7</v>
      </c>
      <c r="F3" s="1">
        <v>68.099999999999994</v>
      </c>
      <c r="G3" s="1" t="s">
        <v>10</v>
      </c>
      <c r="H3" s="1">
        <v>25.2</v>
      </c>
      <c r="I3" s="1" t="s">
        <v>9</v>
      </c>
    </row>
    <row r="4" spans="1:12" x14ac:dyDescent="0.25">
      <c r="A4" s="1">
        <v>3</v>
      </c>
      <c r="B4" s="1">
        <v>15</v>
      </c>
      <c r="C4" s="1">
        <v>3</v>
      </c>
      <c r="D4" s="1">
        <v>4.3</v>
      </c>
      <c r="E4" s="1">
        <v>1.5</v>
      </c>
      <c r="F4" s="1">
        <v>67.900000000000006</v>
      </c>
      <c r="G4" s="1" t="s">
        <v>10</v>
      </c>
      <c r="H4" s="1">
        <v>22.6</v>
      </c>
      <c r="I4" s="1" t="s">
        <v>11</v>
      </c>
      <c r="K4" t="s">
        <v>24</v>
      </c>
    </row>
    <row r="5" spans="1:12" x14ac:dyDescent="0.25">
      <c r="A5" s="1">
        <v>4</v>
      </c>
      <c r="B5" s="1">
        <v>17</v>
      </c>
      <c r="C5" s="1">
        <v>3</v>
      </c>
      <c r="D5" s="1">
        <v>2.8</v>
      </c>
      <c r="E5" s="1">
        <v>1.8</v>
      </c>
      <c r="F5" s="1">
        <v>47.2</v>
      </c>
      <c r="G5" s="1" t="s">
        <v>12</v>
      </c>
      <c r="H5" s="1">
        <v>15.7</v>
      </c>
      <c r="I5" s="1" t="s">
        <v>9</v>
      </c>
      <c r="K5">
        <f>AVERAGE(D2:D201)</f>
        <v>4.0100000000000007</v>
      </c>
    </row>
    <row r="6" spans="1:12" x14ac:dyDescent="0.25">
      <c r="A6" s="1">
        <v>5</v>
      </c>
      <c r="B6" s="1">
        <v>17</v>
      </c>
      <c r="C6" s="1">
        <v>2.5</v>
      </c>
      <c r="D6" s="1">
        <v>1.8</v>
      </c>
      <c r="E6" s="1">
        <v>1.4</v>
      </c>
      <c r="F6" s="1">
        <v>78</v>
      </c>
      <c r="G6" s="1" t="s">
        <v>8</v>
      </c>
      <c r="H6" s="1">
        <v>31.2</v>
      </c>
      <c r="I6" s="1" t="s">
        <v>13</v>
      </c>
    </row>
    <row r="7" spans="1:12" x14ac:dyDescent="0.25">
      <c r="A7" s="1">
        <v>6</v>
      </c>
      <c r="B7" s="1">
        <v>14</v>
      </c>
      <c r="C7" s="1">
        <v>1.3</v>
      </c>
      <c r="D7" s="1">
        <v>4.4000000000000004</v>
      </c>
      <c r="E7" s="1">
        <v>0.4</v>
      </c>
      <c r="F7" s="1">
        <v>71.5</v>
      </c>
      <c r="G7" s="1" t="s">
        <v>8</v>
      </c>
      <c r="H7" s="1">
        <v>55</v>
      </c>
      <c r="I7" s="1" t="s">
        <v>11</v>
      </c>
      <c r="K7" t="s">
        <v>25</v>
      </c>
    </row>
    <row r="8" spans="1:12" x14ac:dyDescent="0.25">
      <c r="A8" s="1">
        <v>7</v>
      </c>
      <c r="B8" s="1">
        <v>15</v>
      </c>
      <c r="C8" s="1">
        <v>3.3</v>
      </c>
      <c r="D8" s="1">
        <v>6.7</v>
      </c>
      <c r="E8" s="1">
        <v>2.9</v>
      </c>
      <c r="F8" s="1">
        <v>88</v>
      </c>
      <c r="G8" s="1" t="s">
        <v>14</v>
      </c>
      <c r="H8" s="1">
        <v>26.7</v>
      </c>
      <c r="I8" s="1" t="s">
        <v>11</v>
      </c>
      <c r="K8">
        <f>AVERAGE(F1:F201)</f>
        <v>70.911999999999992</v>
      </c>
    </row>
    <row r="9" spans="1:12" x14ac:dyDescent="0.25">
      <c r="A9" s="1">
        <v>8</v>
      </c>
      <c r="B9" s="1">
        <v>15</v>
      </c>
      <c r="C9" s="1">
        <v>2.9</v>
      </c>
      <c r="D9" s="1">
        <v>4.5999999999999996</v>
      </c>
      <c r="E9" s="1">
        <v>1.6</v>
      </c>
      <c r="F9" s="1">
        <v>69.3</v>
      </c>
      <c r="G9" s="1" t="s">
        <v>10</v>
      </c>
      <c r="H9" s="1">
        <v>23.9</v>
      </c>
      <c r="I9" s="1" t="s">
        <v>11</v>
      </c>
    </row>
    <row r="10" spans="1:12" x14ac:dyDescent="0.25">
      <c r="A10" s="1">
        <v>9</v>
      </c>
      <c r="B10" s="1">
        <v>15</v>
      </c>
      <c r="C10" s="1">
        <v>1.4</v>
      </c>
      <c r="D10" s="1">
        <v>4.0999999999999996</v>
      </c>
      <c r="E10" s="1">
        <v>0.9</v>
      </c>
      <c r="F10" s="1">
        <v>75.7</v>
      </c>
      <c r="G10" s="1" t="s">
        <v>8</v>
      </c>
      <c r="H10" s="1">
        <v>54.1</v>
      </c>
      <c r="I10" s="1" t="s">
        <v>11</v>
      </c>
      <c r="K10" t="s">
        <v>26</v>
      </c>
    </row>
    <row r="11" spans="1:12" x14ac:dyDescent="0.25">
      <c r="A11" s="1">
        <v>10</v>
      </c>
      <c r="B11" s="1">
        <v>17</v>
      </c>
      <c r="C11" s="1">
        <v>1.8</v>
      </c>
      <c r="D11" s="1">
        <v>4.0999999999999996</v>
      </c>
      <c r="E11" s="1">
        <v>2.8</v>
      </c>
      <c r="F11" s="1">
        <v>78.3</v>
      </c>
      <c r="G11" s="1" t="s">
        <v>8</v>
      </c>
      <c r="H11" s="1">
        <v>43.5</v>
      </c>
      <c r="I11" s="1" t="s">
        <v>11</v>
      </c>
      <c r="K11" t="s">
        <v>27</v>
      </c>
      <c r="L11">
        <f>INDEX(A1:A201,MATCH(MAX(F1:F201), F1:F201,0))</f>
        <v>85</v>
      </c>
    </row>
    <row r="12" spans="1:12" x14ac:dyDescent="0.25">
      <c r="A12" s="1">
        <v>11</v>
      </c>
      <c r="B12" s="1">
        <v>16</v>
      </c>
      <c r="C12" s="1">
        <v>3.4</v>
      </c>
      <c r="D12" s="1">
        <v>3.6</v>
      </c>
      <c r="E12" s="1">
        <v>2</v>
      </c>
      <c r="F12" s="1">
        <v>52.5</v>
      </c>
      <c r="G12" s="1" t="s">
        <v>10</v>
      </c>
      <c r="H12" s="1">
        <v>15.4</v>
      </c>
      <c r="I12" s="1" t="s">
        <v>9</v>
      </c>
    </row>
    <row r="13" spans="1:12" x14ac:dyDescent="0.25">
      <c r="A13" s="1">
        <v>12</v>
      </c>
      <c r="B13" s="1">
        <v>15</v>
      </c>
      <c r="C13" s="1">
        <v>3.1</v>
      </c>
      <c r="D13" s="1">
        <v>5.8</v>
      </c>
      <c r="E13" s="1">
        <v>0.5</v>
      </c>
      <c r="F13" s="1">
        <v>96.2</v>
      </c>
      <c r="G13" s="1" t="s">
        <v>14</v>
      </c>
      <c r="H13" s="1">
        <v>31</v>
      </c>
      <c r="I13" s="1" t="s">
        <v>11</v>
      </c>
    </row>
    <row r="14" spans="1:12" x14ac:dyDescent="0.25">
      <c r="A14" s="1">
        <v>13</v>
      </c>
      <c r="B14" s="1">
        <v>17</v>
      </c>
      <c r="C14" s="1">
        <v>1.8</v>
      </c>
      <c r="D14" s="1">
        <v>4.0999999999999996</v>
      </c>
      <c r="E14" s="1">
        <v>0.7</v>
      </c>
      <c r="F14" s="1">
        <v>65.7</v>
      </c>
      <c r="G14" s="1" t="s">
        <v>10</v>
      </c>
      <c r="H14" s="1">
        <v>36.5</v>
      </c>
      <c r="I14" s="1" t="s">
        <v>11</v>
      </c>
    </row>
    <row r="15" spans="1:12" x14ac:dyDescent="0.25">
      <c r="A15" s="1">
        <v>14</v>
      </c>
      <c r="B15" s="1">
        <v>14</v>
      </c>
      <c r="C15" s="1">
        <v>2.2000000000000002</v>
      </c>
      <c r="D15" s="1">
        <v>2</v>
      </c>
      <c r="E15" s="1">
        <v>1.3</v>
      </c>
      <c r="F15" s="1">
        <v>74.900000000000006</v>
      </c>
      <c r="G15" s="1" t="s">
        <v>8</v>
      </c>
      <c r="H15" s="1">
        <v>34</v>
      </c>
      <c r="I15" s="1" t="s">
        <v>13</v>
      </c>
    </row>
    <row r="16" spans="1:12" x14ac:dyDescent="0.25">
      <c r="A16" s="1">
        <v>15</v>
      </c>
      <c r="B16" s="1">
        <v>16</v>
      </c>
      <c r="C16" s="1">
        <v>2.4</v>
      </c>
      <c r="D16" s="1">
        <v>1.6</v>
      </c>
      <c r="E16" s="1">
        <v>1.7</v>
      </c>
      <c r="F16" s="1">
        <v>76.400000000000006</v>
      </c>
      <c r="G16" s="1" t="s">
        <v>8</v>
      </c>
      <c r="H16" s="1">
        <v>31.8</v>
      </c>
      <c r="I16" s="1" t="s">
        <v>13</v>
      </c>
    </row>
    <row r="17" spans="1:9" x14ac:dyDescent="0.25">
      <c r="A17" s="1">
        <v>16</v>
      </c>
      <c r="B17" s="1">
        <v>14</v>
      </c>
      <c r="C17" s="1">
        <v>3.1</v>
      </c>
      <c r="D17" s="1">
        <v>4.0999999999999996</v>
      </c>
      <c r="E17" s="1">
        <v>2</v>
      </c>
      <c r="F17" s="1">
        <v>61.9</v>
      </c>
      <c r="G17" s="1" t="s">
        <v>10</v>
      </c>
      <c r="H17" s="1">
        <v>20</v>
      </c>
      <c r="I17" s="1" t="s">
        <v>11</v>
      </c>
    </row>
    <row r="18" spans="1:9" x14ac:dyDescent="0.25">
      <c r="A18" s="1">
        <v>17</v>
      </c>
      <c r="B18" s="1">
        <v>16</v>
      </c>
      <c r="C18" s="1">
        <v>3.7</v>
      </c>
      <c r="D18" s="1">
        <v>5.6</v>
      </c>
      <c r="E18" s="1">
        <v>2.2999999999999998</v>
      </c>
      <c r="F18" s="1">
        <v>88.5</v>
      </c>
      <c r="G18" s="1" t="s">
        <v>14</v>
      </c>
      <c r="H18" s="1">
        <v>23.9</v>
      </c>
      <c r="I18" s="1" t="s">
        <v>11</v>
      </c>
    </row>
    <row r="19" spans="1:9" x14ac:dyDescent="0.25">
      <c r="A19" s="1">
        <v>18</v>
      </c>
      <c r="B19" s="1">
        <v>17</v>
      </c>
      <c r="C19" s="1">
        <v>2.6</v>
      </c>
      <c r="D19" s="1">
        <v>4.4000000000000004</v>
      </c>
      <c r="E19" s="1">
        <v>1.9</v>
      </c>
      <c r="F19" s="1">
        <v>72.7</v>
      </c>
      <c r="G19" s="1" t="s">
        <v>8</v>
      </c>
      <c r="H19" s="1">
        <v>28</v>
      </c>
      <c r="I19" s="1" t="s">
        <v>11</v>
      </c>
    </row>
    <row r="20" spans="1:9" x14ac:dyDescent="0.25">
      <c r="A20" s="1">
        <v>19</v>
      </c>
      <c r="B20" s="1">
        <v>13</v>
      </c>
      <c r="C20" s="1">
        <v>2.5</v>
      </c>
      <c r="D20" s="1">
        <v>3.5</v>
      </c>
      <c r="E20" s="1">
        <v>2.6</v>
      </c>
      <c r="F20" s="1">
        <v>67.900000000000006</v>
      </c>
      <c r="G20" s="1" t="s">
        <v>10</v>
      </c>
      <c r="H20" s="1">
        <v>27.2</v>
      </c>
      <c r="I20" s="1" t="s">
        <v>9</v>
      </c>
    </row>
    <row r="21" spans="1:9" x14ac:dyDescent="0.25">
      <c r="A21" s="1">
        <v>20</v>
      </c>
      <c r="B21" s="1">
        <v>16</v>
      </c>
      <c r="C21" s="1">
        <v>3.4</v>
      </c>
      <c r="D21" s="1">
        <v>4.7</v>
      </c>
      <c r="E21" s="1">
        <v>1.6</v>
      </c>
      <c r="F21" s="1">
        <v>71.400000000000006</v>
      </c>
      <c r="G21" s="1" t="s">
        <v>8</v>
      </c>
      <c r="H21" s="1">
        <v>21</v>
      </c>
      <c r="I21" s="1" t="s">
        <v>11</v>
      </c>
    </row>
    <row r="22" spans="1:9" x14ac:dyDescent="0.25">
      <c r="A22" s="1">
        <v>21</v>
      </c>
      <c r="B22" s="1">
        <v>14</v>
      </c>
      <c r="C22" s="1">
        <v>2.7</v>
      </c>
      <c r="D22" s="1">
        <v>4.3</v>
      </c>
      <c r="E22" s="1">
        <v>0.9</v>
      </c>
      <c r="F22" s="1">
        <v>77.599999999999994</v>
      </c>
      <c r="G22" s="1" t="s">
        <v>8</v>
      </c>
      <c r="H22" s="1">
        <v>28.7</v>
      </c>
      <c r="I22" s="1" t="s">
        <v>11</v>
      </c>
    </row>
    <row r="23" spans="1:9" x14ac:dyDescent="0.25">
      <c r="A23" s="1">
        <v>22</v>
      </c>
      <c r="B23" s="1">
        <v>17</v>
      </c>
      <c r="C23" s="1">
        <v>1.1000000000000001</v>
      </c>
      <c r="D23" s="1">
        <v>5.2</v>
      </c>
      <c r="E23" s="1">
        <v>1.5</v>
      </c>
      <c r="F23" s="1">
        <v>70.099999999999994</v>
      </c>
      <c r="G23" s="1" t="s">
        <v>8</v>
      </c>
      <c r="H23" s="1">
        <v>63.7</v>
      </c>
      <c r="I23" s="1" t="s">
        <v>11</v>
      </c>
    </row>
    <row r="24" spans="1:9" x14ac:dyDescent="0.25">
      <c r="A24" s="1">
        <v>23</v>
      </c>
      <c r="B24" s="1">
        <v>16</v>
      </c>
      <c r="C24" s="1">
        <v>1.5</v>
      </c>
      <c r="D24" s="1">
        <v>6</v>
      </c>
      <c r="E24" s="1">
        <v>1.4</v>
      </c>
      <c r="F24" s="1">
        <v>78.8</v>
      </c>
      <c r="G24" s="1" t="s">
        <v>8</v>
      </c>
      <c r="H24" s="1">
        <v>52.5</v>
      </c>
      <c r="I24" s="1" t="s">
        <v>11</v>
      </c>
    </row>
    <row r="25" spans="1:9" x14ac:dyDescent="0.25">
      <c r="A25" s="1">
        <v>24</v>
      </c>
      <c r="B25" s="1">
        <v>13</v>
      </c>
      <c r="C25" s="1">
        <v>3.2</v>
      </c>
      <c r="D25" s="1">
        <v>2.6</v>
      </c>
      <c r="E25" s="1">
        <v>0</v>
      </c>
      <c r="F25" s="1">
        <v>53.2</v>
      </c>
      <c r="G25" s="1" t="s">
        <v>10</v>
      </c>
      <c r="H25" s="1">
        <v>16.600000000000001</v>
      </c>
      <c r="I25" s="1" t="s">
        <v>9</v>
      </c>
    </row>
    <row r="26" spans="1:9" x14ac:dyDescent="0.25">
      <c r="A26" s="1">
        <v>25</v>
      </c>
      <c r="B26" s="1">
        <v>13</v>
      </c>
      <c r="C26" s="1">
        <v>0.8</v>
      </c>
      <c r="D26" s="1">
        <v>0.5</v>
      </c>
      <c r="E26" s="1">
        <v>1.1000000000000001</v>
      </c>
      <c r="F26" s="1">
        <v>62.5</v>
      </c>
      <c r="G26" s="1" t="s">
        <v>10</v>
      </c>
      <c r="H26" s="1">
        <v>78.099999999999994</v>
      </c>
      <c r="I26" s="1" t="s">
        <v>13</v>
      </c>
    </row>
    <row r="27" spans="1:9" x14ac:dyDescent="0.25">
      <c r="A27" s="1">
        <v>26</v>
      </c>
      <c r="B27" s="1">
        <v>15</v>
      </c>
      <c r="C27" s="1">
        <v>2.6</v>
      </c>
      <c r="D27" s="1">
        <v>3.5</v>
      </c>
      <c r="E27" s="1">
        <v>1.8</v>
      </c>
      <c r="F27" s="1">
        <v>48.6</v>
      </c>
      <c r="G27" s="1" t="s">
        <v>12</v>
      </c>
      <c r="H27" s="1">
        <v>18.7</v>
      </c>
      <c r="I27" s="1" t="s">
        <v>9</v>
      </c>
    </row>
    <row r="28" spans="1:9" x14ac:dyDescent="0.25">
      <c r="A28" s="1">
        <v>27</v>
      </c>
      <c r="B28" s="1">
        <v>15</v>
      </c>
      <c r="C28" s="1">
        <v>3.5</v>
      </c>
      <c r="D28" s="1">
        <v>2.5</v>
      </c>
      <c r="E28" s="1">
        <v>1.2</v>
      </c>
      <c r="F28" s="1">
        <v>90</v>
      </c>
      <c r="G28" s="1" t="s">
        <v>14</v>
      </c>
      <c r="H28" s="1">
        <v>25.7</v>
      </c>
      <c r="I28" s="1" t="s">
        <v>9</v>
      </c>
    </row>
    <row r="29" spans="1:9" x14ac:dyDescent="0.25">
      <c r="A29" s="1">
        <v>28</v>
      </c>
      <c r="B29" s="1">
        <v>14</v>
      </c>
      <c r="C29" s="1">
        <v>2.7</v>
      </c>
      <c r="D29" s="1">
        <v>5.2</v>
      </c>
      <c r="E29" s="1">
        <v>1</v>
      </c>
      <c r="F29" s="1">
        <v>89.8</v>
      </c>
      <c r="G29" s="1" t="s">
        <v>14</v>
      </c>
      <c r="H29" s="1">
        <v>33.299999999999997</v>
      </c>
      <c r="I29" s="1" t="s">
        <v>11</v>
      </c>
    </row>
    <row r="30" spans="1:9" x14ac:dyDescent="0.25">
      <c r="A30" s="1">
        <v>29</v>
      </c>
      <c r="B30" s="1">
        <v>16</v>
      </c>
      <c r="C30" s="1">
        <v>1.9</v>
      </c>
      <c r="D30" s="1">
        <v>2.9</v>
      </c>
      <c r="E30" s="1">
        <v>2.2000000000000002</v>
      </c>
      <c r="F30" s="1">
        <v>76.3</v>
      </c>
      <c r="G30" s="1" t="s">
        <v>8</v>
      </c>
      <c r="H30" s="1">
        <v>40.200000000000003</v>
      </c>
      <c r="I30" s="1" t="s">
        <v>9</v>
      </c>
    </row>
    <row r="31" spans="1:9" x14ac:dyDescent="0.25">
      <c r="A31" s="1">
        <v>30</v>
      </c>
      <c r="B31" s="1">
        <v>16</v>
      </c>
      <c r="C31" s="1">
        <v>1.7</v>
      </c>
      <c r="D31" s="1">
        <v>1.2</v>
      </c>
      <c r="E31" s="1">
        <v>0.8</v>
      </c>
      <c r="F31" s="1">
        <v>59.9</v>
      </c>
      <c r="G31" s="1" t="s">
        <v>10</v>
      </c>
      <c r="H31" s="1">
        <v>35.200000000000003</v>
      </c>
      <c r="I31" s="1" t="s">
        <v>13</v>
      </c>
    </row>
    <row r="32" spans="1:9" x14ac:dyDescent="0.25">
      <c r="A32" s="1">
        <v>31</v>
      </c>
      <c r="B32" s="1">
        <v>15</v>
      </c>
      <c r="C32" s="1">
        <v>3.3</v>
      </c>
      <c r="D32" s="1">
        <v>3.1</v>
      </c>
      <c r="E32" s="1">
        <v>2.1</v>
      </c>
      <c r="F32" s="1">
        <v>93.9</v>
      </c>
      <c r="G32" s="1" t="s">
        <v>14</v>
      </c>
      <c r="H32" s="1">
        <v>28.5</v>
      </c>
      <c r="I32" s="1" t="s">
        <v>9</v>
      </c>
    </row>
    <row r="33" spans="1:9" x14ac:dyDescent="0.25">
      <c r="A33" s="1">
        <v>32</v>
      </c>
      <c r="B33" s="1">
        <v>16</v>
      </c>
      <c r="C33" s="1">
        <v>3</v>
      </c>
      <c r="D33" s="1">
        <v>1.8</v>
      </c>
      <c r="E33" s="1">
        <v>0.4</v>
      </c>
      <c r="F33" s="1">
        <v>64</v>
      </c>
      <c r="G33" s="1" t="s">
        <v>10</v>
      </c>
      <c r="H33" s="1">
        <v>21.3</v>
      </c>
      <c r="I33" s="1" t="s">
        <v>13</v>
      </c>
    </row>
    <row r="34" spans="1:9" x14ac:dyDescent="0.25">
      <c r="A34" s="1">
        <v>33</v>
      </c>
      <c r="B34" s="1">
        <v>16</v>
      </c>
      <c r="C34" s="1">
        <v>2.2000000000000002</v>
      </c>
      <c r="D34" s="1">
        <v>6.4</v>
      </c>
      <c r="E34" s="1">
        <v>3.7</v>
      </c>
      <c r="F34" s="1">
        <v>67.900000000000006</v>
      </c>
      <c r="G34" s="1" t="s">
        <v>10</v>
      </c>
      <c r="H34" s="1">
        <v>30.9</v>
      </c>
      <c r="I34" s="1" t="s">
        <v>11</v>
      </c>
    </row>
    <row r="35" spans="1:9" x14ac:dyDescent="0.25">
      <c r="A35" s="1">
        <v>34</v>
      </c>
      <c r="B35" s="1">
        <v>13</v>
      </c>
      <c r="C35" s="1">
        <v>3.6</v>
      </c>
      <c r="D35" s="1">
        <v>4.7</v>
      </c>
      <c r="E35" s="1">
        <v>1.3</v>
      </c>
      <c r="F35" s="1">
        <v>71.599999999999994</v>
      </c>
      <c r="G35" s="1" t="s">
        <v>8</v>
      </c>
      <c r="H35" s="1">
        <v>19.899999999999999</v>
      </c>
      <c r="I35" s="1" t="s">
        <v>11</v>
      </c>
    </row>
    <row r="36" spans="1:9" x14ac:dyDescent="0.25">
      <c r="A36" s="1">
        <v>35</v>
      </c>
      <c r="B36" s="1">
        <v>15</v>
      </c>
      <c r="C36" s="1">
        <v>3.4</v>
      </c>
      <c r="D36" s="1">
        <v>5</v>
      </c>
      <c r="E36" s="1">
        <v>1.2</v>
      </c>
      <c r="F36" s="1">
        <v>74.5</v>
      </c>
      <c r="G36" s="1" t="s">
        <v>8</v>
      </c>
      <c r="H36" s="1">
        <v>21.9</v>
      </c>
      <c r="I36" s="1" t="s">
        <v>11</v>
      </c>
    </row>
    <row r="37" spans="1:9" x14ac:dyDescent="0.25">
      <c r="A37" s="1">
        <v>36</v>
      </c>
      <c r="B37" s="1">
        <v>17</v>
      </c>
      <c r="C37" s="1">
        <v>4.3</v>
      </c>
      <c r="D37" s="1">
        <v>4.8</v>
      </c>
      <c r="E37" s="1">
        <v>2.4</v>
      </c>
      <c r="F37" s="1">
        <v>76.400000000000006</v>
      </c>
      <c r="G37" s="1" t="s">
        <v>8</v>
      </c>
      <c r="H37" s="1">
        <v>17.8</v>
      </c>
      <c r="I37" s="1" t="s">
        <v>11</v>
      </c>
    </row>
    <row r="38" spans="1:9" x14ac:dyDescent="0.25">
      <c r="A38" s="1">
        <v>37</v>
      </c>
      <c r="B38" s="1">
        <v>15</v>
      </c>
      <c r="C38" s="1">
        <v>3.1</v>
      </c>
      <c r="D38" s="1">
        <v>5.3</v>
      </c>
      <c r="E38" s="1">
        <v>1.2</v>
      </c>
      <c r="F38" s="1">
        <v>76.8</v>
      </c>
      <c r="G38" s="1" t="s">
        <v>8</v>
      </c>
      <c r="H38" s="1">
        <v>24.8</v>
      </c>
      <c r="I38" s="1" t="s">
        <v>11</v>
      </c>
    </row>
    <row r="39" spans="1:9" x14ac:dyDescent="0.25">
      <c r="A39" s="1">
        <v>38</v>
      </c>
      <c r="B39" s="1">
        <v>17</v>
      </c>
      <c r="C39" s="1">
        <v>2.2999999999999998</v>
      </c>
      <c r="D39" s="1">
        <v>5.7</v>
      </c>
      <c r="E39" s="1">
        <v>2.7</v>
      </c>
      <c r="F39" s="1">
        <v>70.8</v>
      </c>
      <c r="G39" s="1" t="s">
        <v>8</v>
      </c>
      <c r="H39" s="1">
        <v>30.8</v>
      </c>
      <c r="I39" s="1" t="s">
        <v>11</v>
      </c>
    </row>
    <row r="40" spans="1:9" x14ac:dyDescent="0.25">
      <c r="A40" s="1">
        <v>39</v>
      </c>
      <c r="B40" s="1">
        <v>13</v>
      </c>
      <c r="C40" s="1">
        <v>2.4</v>
      </c>
      <c r="D40" s="1">
        <v>3.2</v>
      </c>
      <c r="E40" s="1">
        <v>1.8</v>
      </c>
      <c r="F40" s="1">
        <v>76.7</v>
      </c>
      <c r="G40" s="1" t="s">
        <v>8</v>
      </c>
      <c r="H40" s="1">
        <v>32</v>
      </c>
      <c r="I40" s="1" t="s">
        <v>9</v>
      </c>
    </row>
    <row r="41" spans="1:9" x14ac:dyDescent="0.25">
      <c r="A41" s="1">
        <v>40</v>
      </c>
      <c r="B41" s="1">
        <v>14</v>
      </c>
      <c r="C41" s="1">
        <v>0.6</v>
      </c>
      <c r="D41" s="1">
        <v>1.9</v>
      </c>
      <c r="E41" s="1">
        <v>1.4</v>
      </c>
      <c r="F41" s="1">
        <v>70.8</v>
      </c>
      <c r="G41" s="1" t="s">
        <v>8</v>
      </c>
      <c r="H41" s="1">
        <v>118</v>
      </c>
      <c r="I41" s="1" t="s">
        <v>13</v>
      </c>
    </row>
    <row r="42" spans="1:9" x14ac:dyDescent="0.25">
      <c r="A42" s="1">
        <v>41</v>
      </c>
      <c r="B42" s="1">
        <v>16</v>
      </c>
      <c r="C42" s="1">
        <v>2.7</v>
      </c>
      <c r="D42" s="1">
        <v>2.7</v>
      </c>
      <c r="E42" s="1">
        <v>1.3</v>
      </c>
      <c r="F42" s="1">
        <v>75.8</v>
      </c>
      <c r="G42" s="1" t="s">
        <v>8</v>
      </c>
      <c r="H42" s="1">
        <v>28.1</v>
      </c>
      <c r="I42" s="1" t="s">
        <v>9</v>
      </c>
    </row>
    <row r="43" spans="1:9" x14ac:dyDescent="0.25">
      <c r="A43" s="1">
        <v>42</v>
      </c>
      <c r="B43" s="1">
        <v>13</v>
      </c>
      <c r="C43" s="1">
        <v>2.5</v>
      </c>
      <c r="D43" s="1">
        <v>3.9</v>
      </c>
      <c r="E43" s="1">
        <v>2.5</v>
      </c>
      <c r="F43" s="1">
        <v>75</v>
      </c>
      <c r="G43" s="1" t="s">
        <v>8</v>
      </c>
      <c r="H43" s="1">
        <v>30</v>
      </c>
      <c r="I43" s="1" t="s">
        <v>9</v>
      </c>
    </row>
    <row r="44" spans="1:9" x14ac:dyDescent="0.25">
      <c r="A44" s="1">
        <v>43</v>
      </c>
      <c r="B44" s="1">
        <v>16</v>
      </c>
      <c r="C44" s="1">
        <v>1.2</v>
      </c>
      <c r="D44" s="1">
        <v>0.2</v>
      </c>
      <c r="E44" s="1">
        <v>1.7</v>
      </c>
      <c r="F44" s="1">
        <v>77.599999999999994</v>
      </c>
      <c r="G44" s="1" t="s">
        <v>8</v>
      </c>
      <c r="H44" s="1">
        <v>64.7</v>
      </c>
      <c r="I44" s="1" t="s">
        <v>13</v>
      </c>
    </row>
    <row r="45" spans="1:9" x14ac:dyDescent="0.25">
      <c r="A45" s="1">
        <v>44</v>
      </c>
      <c r="B45" s="1">
        <v>14</v>
      </c>
      <c r="C45" s="1">
        <v>2.5</v>
      </c>
      <c r="D45" s="1">
        <v>5.7</v>
      </c>
      <c r="E45" s="1">
        <v>1.8</v>
      </c>
      <c r="F45" s="1">
        <v>76.400000000000006</v>
      </c>
      <c r="G45" s="1" t="s">
        <v>8</v>
      </c>
      <c r="H45" s="1">
        <v>30.6</v>
      </c>
      <c r="I45" s="1" t="s">
        <v>11</v>
      </c>
    </row>
    <row r="46" spans="1:9" x14ac:dyDescent="0.25">
      <c r="A46" s="1">
        <v>45</v>
      </c>
      <c r="B46" s="1">
        <v>14</v>
      </c>
      <c r="C46" s="1">
        <v>3.8</v>
      </c>
      <c r="D46" s="1">
        <v>1.2</v>
      </c>
      <c r="E46" s="1">
        <v>1.9</v>
      </c>
      <c r="F46" s="1">
        <v>65.599999999999994</v>
      </c>
      <c r="G46" s="1" t="s">
        <v>10</v>
      </c>
      <c r="H46" s="1">
        <v>17.3</v>
      </c>
      <c r="I46" s="1" t="s">
        <v>13</v>
      </c>
    </row>
    <row r="47" spans="1:9" x14ac:dyDescent="0.25">
      <c r="A47" s="1">
        <v>46</v>
      </c>
      <c r="B47" s="1">
        <v>13</v>
      </c>
      <c r="C47" s="1">
        <v>1.8</v>
      </c>
      <c r="D47" s="1">
        <v>4.9000000000000004</v>
      </c>
      <c r="E47" s="1">
        <v>1.6</v>
      </c>
      <c r="F47" s="1">
        <v>74.599999999999994</v>
      </c>
      <c r="G47" s="1" t="s">
        <v>8</v>
      </c>
      <c r="H47" s="1">
        <v>41.4</v>
      </c>
      <c r="I47" s="1" t="s">
        <v>11</v>
      </c>
    </row>
    <row r="48" spans="1:9" x14ac:dyDescent="0.25">
      <c r="A48" s="1">
        <v>47</v>
      </c>
      <c r="B48" s="1">
        <v>14</v>
      </c>
      <c r="C48" s="1">
        <v>1.5</v>
      </c>
      <c r="D48" s="1">
        <v>3.7</v>
      </c>
      <c r="E48" s="1">
        <v>1.9</v>
      </c>
      <c r="F48" s="1">
        <v>76.5</v>
      </c>
      <c r="G48" s="1" t="s">
        <v>8</v>
      </c>
      <c r="H48" s="1">
        <v>51</v>
      </c>
      <c r="I48" s="1" t="s">
        <v>9</v>
      </c>
    </row>
    <row r="49" spans="1:9" x14ac:dyDescent="0.25">
      <c r="A49" s="1">
        <v>48</v>
      </c>
      <c r="B49" s="1">
        <v>17</v>
      </c>
      <c r="C49" s="1">
        <v>3.6</v>
      </c>
      <c r="D49" s="1">
        <v>4.4000000000000004</v>
      </c>
      <c r="E49" s="1">
        <v>1.4</v>
      </c>
      <c r="F49" s="1">
        <v>57.1</v>
      </c>
      <c r="G49" s="1" t="s">
        <v>10</v>
      </c>
      <c r="H49" s="1">
        <v>15.9</v>
      </c>
      <c r="I49" s="1" t="s">
        <v>11</v>
      </c>
    </row>
    <row r="50" spans="1:9" x14ac:dyDescent="0.25">
      <c r="A50" s="1">
        <v>49</v>
      </c>
      <c r="B50" s="1">
        <v>14</v>
      </c>
      <c r="C50" s="1">
        <v>3.1</v>
      </c>
      <c r="D50" s="1">
        <v>3.3</v>
      </c>
      <c r="E50" s="1">
        <v>1.5</v>
      </c>
      <c r="F50" s="1">
        <v>67.3</v>
      </c>
      <c r="G50" s="1" t="s">
        <v>10</v>
      </c>
      <c r="H50" s="1">
        <v>21.7</v>
      </c>
      <c r="I50" s="1" t="s">
        <v>9</v>
      </c>
    </row>
    <row r="51" spans="1:9" x14ac:dyDescent="0.25">
      <c r="A51" s="1">
        <v>50</v>
      </c>
      <c r="B51" s="1">
        <v>16</v>
      </c>
      <c r="C51" s="1">
        <v>5.6</v>
      </c>
      <c r="D51" s="1">
        <v>4.3</v>
      </c>
      <c r="E51" s="1">
        <v>0.6</v>
      </c>
      <c r="F51" s="1">
        <v>76.099999999999994</v>
      </c>
      <c r="G51" s="1" t="s">
        <v>8</v>
      </c>
      <c r="H51" s="1">
        <v>13.6</v>
      </c>
      <c r="I51" s="1" t="s">
        <v>11</v>
      </c>
    </row>
    <row r="52" spans="1:9" x14ac:dyDescent="0.25">
      <c r="A52" s="1">
        <v>51</v>
      </c>
      <c r="B52" s="1">
        <v>16</v>
      </c>
      <c r="C52" s="1">
        <v>1.2</v>
      </c>
      <c r="D52" s="1">
        <v>3.3</v>
      </c>
      <c r="E52" s="1">
        <v>1.7</v>
      </c>
      <c r="F52" s="1">
        <v>87.1</v>
      </c>
      <c r="G52" s="1" t="s">
        <v>14</v>
      </c>
      <c r="H52" s="1">
        <v>72.599999999999994</v>
      </c>
      <c r="I52" s="1" t="s">
        <v>9</v>
      </c>
    </row>
    <row r="53" spans="1:9" x14ac:dyDescent="0.25">
      <c r="A53" s="1">
        <v>52</v>
      </c>
      <c r="B53" s="1">
        <v>16</v>
      </c>
      <c r="C53" s="1">
        <v>3.2</v>
      </c>
      <c r="D53" s="1">
        <v>3.2</v>
      </c>
      <c r="E53" s="1">
        <v>0.1</v>
      </c>
      <c r="F53" s="1">
        <v>78.2</v>
      </c>
      <c r="G53" s="1" t="s">
        <v>8</v>
      </c>
      <c r="H53" s="1">
        <v>24.4</v>
      </c>
      <c r="I53" s="1" t="s">
        <v>9</v>
      </c>
    </row>
    <row r="54" spans="1:9" x14ac:dyDescent="0.25">
      <c r="A54" s="1">
        <v>53</v>
      </c>
      <c r="B54" s="1">
        <v>16</v>
      </c>
      <c r="C54" s="1">
        <v>2.8</v>
      </c>
      <c r="D54" s="1">
        <v>2.7</v>
      </c>
      <c r="E54" s="1">
        <v>1.7</v>
      </c>
      <c r="F54" s="1">
        <v>87.7</v>
      </c>
      <c r="G54" s="1" t="s">
        <v>14</v>
      </c>
      <c r="H54" s="1">
        <v>31.3</v>
      </c>
      <c r="I54" s="1" t="s">
        <v>9</v>
      </c>
    </row>
    <row r="55" spans="1:9" x14ac:dyDescent="0.25">
      <c r="A55" s="1">
        <v>54</v>
      </c>
      <c r="B55" s="1">
        <v>17</v>
      </c>
      <c r="C55" s="1">
        <v>2.6</v>
      </c>
      <c r="D55" s="1">
        <v>4.0999999999999996</v>
      </c>
      <c r="E55" s="1">
        <v>1.3</v>
      </c>
      <c r="F55" s="1">
        <v>66</v>
      </c>
      <c r="G55" s="1" t="s">
        <v>10</v>
      </c>
      <c r="H55" s="1">
        <v>25.4</v>
      </c>
      <c r="I55" s="1" t="s">
        <v>11</v>
      </c>
    </row>
    <row r="56" spans="1:9" x14ac:dyDescent="0.25">
      <c r="A56" s="1">
        <v>55</v>
      </c>
      <c r="B56" s="1">
        <v>15</v>
      </c>
      <c r="C56" s="1">
        <v>3.4</v>
      </c>
      <c r="D56" s="1">
        <v>4.5999999999999996</v>
      </c>
      <c r="E56" s="1">
        <v>1.8</v>
      </c>
      <c r="F56" s="1">
        <v>72.5</v>
      </c>
      <c r="G56" s="1" t="s">
        <v>8</v>
      </c>
      <c r="H56" s="1">
        <v>21.3</v>
      </c>
      <c r="I56" s="1" t="s">
        <v>11</v>
      </c>
    </row>
    <row r="57" spans="1:9" x14ac:dyDescent="0.25">
      <c r="A57" s="1">
        <v>56</v>
      </c>
      <c r="B57" s="1">
        <v>13</v>
      </c>
      <c r="C57" s="1">
        <v>2.5</v>
      </c>
      <c r="D57" s="1">
        <v>4.3</v>
      </c>
      <c r="E57" s="1">
        <v>0.7</v>
      </c>
      <c r="F57" s="1">
        <v>78.099999999999994</v>
      </c>
      <c r="G57" s="1" t="s">
        <v>8</v>
      </c>
      <c r="H57" s="1">
        <v>31.2</v>
      </c>
      <c r="I57" s="1" t="s">
        <v>11</v>
      </c>
    </row>
    <row r="58" spans="1:9" x14ac:dyDescent="0.25">
      <c r="A58" s="1">
        <v>57</v>
      </c>
      <c r="B58" s="1">
        <v>16</v>
      </c>
      <c r="C58" s="1">
        <v>0.6</v>
      </c>
      <c r="D58" s="1">
        <v>2.7</v>
      </c>
      <c r="E58" s="1">
        <v>0</v>
      </c>
      <c r="F58" s="1">
        <v>46.7</v>
      </c>
      <c r="G58" s="1" t="s">
        <v>12</v>
      </c>
      <c r="H58" s="1">
        <v>77.8</v>
      </c>
      <c r="I58" s="1" t="s">
        <v>9</v>
      </c>
    </row>
    <row r="59" spans="1:9" x14ac:dyDescent="0.25">
      <c r="A59" s="1">
        <v>58</v>
      </c>
      <c r="B59" s="1">
        <v>14</v>
      </c>
      <c r="C59" s="1">
        <v>1.7</v>
      </c>
      <c r="D59" s="1">
        <v>3.6</v>
      </c>
      <c r="E59" s="1">
        <v>1.2</v>
      </c>
      <c r="F59" s="1">
        <v>70.8</v>
      </c>
      <c r="G59" s="1" t="s">
        <v>8</v>
      </c>
      <c r="H59" s="1">
        <v>41.6</v>
      </c>
      <c r="I59" s="1" t="s">
        <v>9</v>
      </c>
    </row>
    <row r="60" spans="1:9" x14ac:dyDescent="0.25">
      <c r="A60" s="1">
        <v>59</v>
      </c>
      <c r="B60" s="1">
        <v>16</v>
      </c>
      <c r="C60" s="1">
        <v>3.9</v>
      </c>
      <c r="D60" s="1">
        <v>2.5</v>
      </c>
      <c r="E60" s="1">
        <v>0.7</v>
      </c>
      <c r="F60" s="1">
        <v>51.4</v>
      </c>
      <c r="G60" s="1" t="s">
        <v>10</v>
      </c>
      <c r="H60" s="1">
        <v>13.2</v>
      </c>
      <c r="I60" s="1" t="s">
        <v>9</v>
      </c>
    </row>
    <row r="61" spans="1:9" x14ac:dyDescent="0.25">
      <c r="A61" s="1">
        <v>60</v>
      </c>
      <c r="B61" s="1">
        <v>14</v>
      </c>
      <c r="C61" s="1">
        <v>3.7</v>
      </c>
      <c r="D61" s="1">
        <v>3.3</v>
      </c>
      <c r="E61" s="1">
        <v>0.1</v>
      </c>
      <c r="F61" s="1">
        <v>80</v>
      </c>
      <c r="G61" s="1" t="s">
        <v>8</v>
      </c>
      <c r="H61" s="1">
        <v>21.6</v>
      </c>
      <c r="I61" s="1" t="s">
        <v>9</v>
      </c>
    </row>
    <row r="62" spans="1:9" x14ac:dyDescent="0.25">
      <c r="A62" s="1">
        <v>61</v>
      </c>
      <c r="B62" s="1">
        <v>14</v>
      </c>
      <c r="C62" s="1">
        <v>2.1</v>
      </c>
      <c r="D62" s="1">
        <v>2.2000000000000002</v>
      </c>
      <c r="E62" s="1">
        <v>2.1</v>
      </c>
      <c r="F62" s="1">
        <v>76.900000000000006</v>
      </c>
      <c r="G62" s="1" t="s">
        <v>8</v>
      </c>
      <c r="H62" s="1">
        <v>36.6</v>
      </c>
      <c r="I62" s="1" t="s">
        <v>9</v>
      </c>
    </row>
    <row r="63" spans="1:9" x14ac:dyDescent="0.25">
      <c r="A63" s="1">
        <v>62</v>
      </c>
      <c r="B63" s="1">
        <v>16</v>
      </c>
      <c r="C63" s="1">
        <v>3</v>
      </c>
      <c r="D63" s="1">
        <v>6.4</v>
      </c>
      <c r="E63" s="1">
        <v>2.8</v>
      </c>
      <c r="F63" s="1">
        <v>46.6</v>
      </c>
      <c r="G63" s="1" t="s">
        <v>12</v>
      </c>
      <c r="H63" s="1">
        <v>15.5</v>
      </c>
      <c r="I63" s="1" t="s">
        <v>11</v>
      </c>
    </row>
    <row r="64" spans="1:9" x14ac:dyDescent="0.25">
      <c r="A64" s="1">
        <v>63</v>
      </c>
      <c r="B64" s="1">
        <v>17</v>
      </c>
      <c r="C64" s="1">
        <v>5.3</v>
      </c>
      <c r="D64" s="1">
        <v>4.0999999999999996</v>
      </c>
      <c r="E64" s="1">
        <v>0.9</v>
      </c>
      <c r="F64" s="1">
        <v>47.1</v>
      </c>
      <c r="G64" s="1" t="s">
        <v>12</v>
      </c>
      <c r="H64" s="1">
        <v>8.9</v>
      </c>
      <c r="I64" s="1" t="s">
        <v>11</v>
      </c>
    </row>
    <row r="65" spans="1:9" x14ac:dyDescent="0.25">
      <c r="A65" s="1">
        <v>64</v>
      </c>
      <c r="B65" s="1">
        <v>14</v>
      </c>
      <c r="C65" s="1">
        <v>2.5</v>
      </c>
      <c r="D65" s="1">
        <v>2.7</v>
      </c>
      <c r="E65" s="1">
        <v>1.4</v>
      </c>
      <c r="F65" s="1">
        <v>70.8</v>
      </c>
      <c r="G65" s="1" t="s">
        <v>8</v>
      </c>
      <c r="H65" s="1">
        <v>28.3</v>
      </c>
      <c r="I65" s="1" t="s">
        <v>9</v>
      </c>
    </row>
    <row r="66" spans="1:9" x14ac:dyDescent="0.25">
      <c r="A66" s="1">
        <v>65</v>
      </c>
      <c r="B66" s="1">
        <v>14</v>
      </c>
      <c r="C66" s="1">
        <v>2.5</v>
      </c>
      <c r="D66" s="1">
        <v>2</v>
      </c>
      <c r="E66" s="1">
        <v>1.3</v>
      </c>
      <c r="F66" s="1">
        <v>82.1</v>
      </c>
      <c r="G66" s="1" t="s">
        <v>8</v>
      </c>
      <c r="H66" s="1">
        <v>32.799999999999997</v>
      </c>
      <c r="I66" s="1" t="s">
        <v>13</v>
      </c>
    </row>
    <row r="67" spans="1:9" x14ac:dyDescent="0.25">
      <c r="A67" s="1">
        <v>66</v>
      </c>
      <c r="B67" s="1">
        <v>16</v>
      </c>
      <c r="C67" s="1">
        <v>2.7</v>
      </c>
      <c r="D67" s="1">
        <v>2.8</v>
      </c>
      <c r="E67" s="1">
        <v>1</v>
      </c>
      <c r="F67" s="1">
        <v>61.2</v>
      </c>
      <c r="G67" s="1" t="s">
        <v>10</v>
      </c>
      <c r="H67" s="1">
        <v>22.7</v>
      </c>
      <c r="I67" s="1" t="s">
        <v>9</v>
      </c>
    </row>
    <row r="68" spans="1:9" x14ac:dyDescent="0.25">
      <c r="A68" s="1">
        <v>67</v>
      </c>
      <c r="B68" s="1">
        <v>14</v>
      </c>
      <c r="C68" s="1">
        <v>3.1</v>
      </c>
      <c r="D68" s="1">
        <v>3.3</v>
      </c>
      <c r="E68" s="1">
        <v>2</v>
      </c>
      <c r="F68" s="1">
        <v>61.2</v>
      </c>
      <c r="G68" s="1" t="s">
        <v>10</v>
      </c>
      <c r="H68" s="1">
        <v>19.7</v>
      </c>
      <c r="I68" s="1" t="s">
        <v>9</v>
      </c>
    </row>
    <row r="69" spans="1:9" x14ac:dyDescent="0.25">
      <c r="A69" s="1">
        <v>68</v>
      </c>
      <c r="B69" s="1">
        <v>14</v>
      </c>
      <c r="C69" s="1">
        <v>2.2000000000000002</v>
      </c>
      <c r="D69" s="1">
        <v>3.9</v>
      </c>
      <c r="E69" s="1">
        <v>2.2999999999999998</v>
      </c>
      <c r="F69" s="1">
        <v>75.099999999999994</v>
      </c>
      <c r="G69" s="1" t="s">
        <v>8</v>
      </c>
      <c r="H69" s="1">
        <v>34.1</v>
      </c>
      <c r="I69" s="1" t="s">
        <v>9</v>
      </c>
    </row>
    <row r="70" spans="1:9" x14ac:dyDescent="0.25">
      <c r="A70" s="1">
        <v>69</v>
      </c>
      <c r="B70" s="1">
        <v>16</v>
      </c>
      <c r="C70" s="1">
        <v>3.1</v>
      </c>
      <c r="D70" s="1">
        <v>3</v>
      </c>
      <c r="E70" s="1">
        <v>0.8</v>
      </c>
      <c r="F70" s="1">
        <v>69.900000000000006</v>
      </c>
      <c r="G70" s="1" t="s">
        <v>10</v>
      </c>
      <c r="H70" s="1">
        <v>22.5</v>
      </c>
      <c r="I70" s="1" t="s">
        <v>9</v>
      </c>
    </row>
    <row r="71" spans="1:9" x14ac:dyDescent="0.25">
      <c r="A71" s="1">
        <v>70</v>
      </c>
      <c r="B71" s="1">
        <v>16</v>
      </c>
      <c r="C71" s="1">
        <v>0.6</v>
      </c>
      <c r="D71" s="1">
        <v>1.6</v>
      </c>
      <c r="E71" s="1">
        <v>1.5</v>
      </c>
      <c r="F71" s="1">
        <v>80.5</v>
      </c>
      <c r="G71" s="1" t="s">
        <v>8</v>
      </c>
      <c r="H71" s="1">
        <v>134.19999999999999</v>
      </c>
      <c r="I71" s="1" t="s">
        <v>13</v>
      </c>
    </row>
    <row r="72" spans="1:9" x14ac:dyDescent="0.25">
      <c r="A72" s="1">
        <v>71</v>
      </c>
      <c r="B72" s="1">
        <v>13</v>
      </c>
      <c r="C72" s="1">
        <v>2.8</v>
      </c>
      <c r="D72" s="1">
        <v>1.7</v>
      </c>
      <c r="E72" s="1">
        <v>2.5</v>
      </c>
      <c r="F72" s="1">
        <v>74.8</v>
      </c>
      <c r="G72" s="1" t="s">
        <v>8</v>
      </c>
      <c r="H72" s="1">
        <v>26.7</v>
      </c>
      <c r="I72" s="1" t="s">
        <v>13</v>
      </c>
    </row>
    <row r="73" spans="1:9" x14ac:dyDescent="0.25">
      <c r="A73" s="1">
        <v>72</v>
      </c>
      <c r="B73" s="1">
        <v>17</v>
      </c>
      <c r="C73" s="1">
        <v>2.6</v>
      </c>
      <c r="D73" s="1">
        <v>5</v>
      </c>
      <c r="E73" s="1">
        <v>2.1</v>
      </c>
      <c r="F73" s="1">
        <v>85.8</v>
      </c>
      <c r="G73" s="1" t="s">
        <v>14</v>
      </c>
      <c r="H73" s="1">
        <v>33</v>
      </c>
      <c r="I73" s="1" t="s">
        <v>11</v>
      </c>
    </row>
    <row r="74" spans="1:9" x14ac:dyDescent="0.25">
      <c r="A74" s="1">
        <v>73</v>
      </c>
      <c r="B74" s="1">
        <v>17</v>
      </c>
      <c r="C74" s="1">
        <v>2.2999999999999998</v>
      </c>
      <c r="D74" s="1">
        <v>3.8</v>
      </c>
      <c r="E74" s="1">
        <v>2.2000000000000002</v>
      </c>
      <c r="F74" s="1">
        <v>79.7</v>
      </c>
      <c r="G74" s="1" t="s">
        <v>8</v>
      </c>
      <c r="H74" s="1">
        <v>34.700000000000003</v>
      </c>
      <c r="I74" s="1" t="s">
        <v>9</v>
      </c>
    </row>
    <row r="75" spans="1:9" x14ac:dyDescent="0.25">
      <c r="A75" s="1">
        <v>74</v>
      </c>
      <c r="B75" s="1">
        <v>14</v>
      </c>
      <c r="C75" s="1">
        <v>2</v>
      </c>
      <c r="D75" s="1">
        <v>5</v>
      </c>
      <c r="E75" s="1">
        <v>2.6</v>
      </c>
      <c r="F75" s="1">
        <v>77.2</v>
      </c>
      <c r="G75" s="1" t="s">
        <v>8</v>
      </c>
      <c r="H75" s="1">
        <v>38.6</v>
      </c>
      <c r="I75" s="1" t="s">
        <v>11</v>
      </c>
    </row>
    <row r="76" spans="1:9" x14ac:dyDescent="0.25">
      <c r="A76" s="1">
        <v>75</v>
      </c>
      <c r="B76" s="1">
        <v>17</v>
      </c>
      <c r="C76" s="1">
        <v>1.9</v>
      </c>
      <c r="D76" s="1">
        <v>5.2</v>
      </c>
      <c r="E76" s="1">
        <v>2.6</v>
      </c>
      <c r="F76" s="1">
        <v>66.5</v>
      </c>
      <c r="G76" s="1" t="s">
        <v>10</v>
      </c>
      <c r="H76" s="1">
        <v>35</v>
      </c>
      <c r="I76" s="1" t="s">
        <v>11</v>
      </c>
    </row>
    <row r="77" spans="1:9" x14ac:dyDescent="0.25">
      <c r="A77" s="1">
        <v>76</v>
      </c>
      <c r="B77" s="1">
        <v>14</v>
      </c>
      <c r="C77" s="1">
        <v>1.7</v>
      </c>
      <c r="D77" s="1">
        <v>4.2</v>
      </c>
      <c r="E77" s="1">
        <v>2.2999999999999998</v>
      </c>
      <c r="F77" s="1">
        <v>65.7</v>
      </c>
      <c r="G77" s="1" t="s">
        <v>10</v>
      </c>
      <c r="H77" s="1">
        <v>38.6</v>
      </c>
      <c r="I77" s="1" t="s">
        <v>11</v>
      </c>
    </row>
    <row r="78" spans="1:9" x14ac:dyDescent="0.25">
      <c r="A78" s="1">
        <v>77</v>
      </c>
      <c r="B78" s="1">
        <v>13</v>
      </c>
      <c r="C78" s="1">
        <v>0.2</v>
      </c>
      <c r="D78" s="1">
        <v>2.2000000000000002</v>
      </c>
      <c r="E78" s="1">
        <v>1.6</v>
      </c>
      <c r="F78" s="1">
        <v>69.5</v>
      </c>
      <c r="G78" s="1" t="s">
        <v>10</v>
      </c>
      <c r="H78" s="1">
        <v>347.5</v>
      </c>
      <c r="I78" s="1" t="s">
        <v>9</v>
      </c>
    </row>
    <row r="79" spans="1:9" x14ac:dyDescent="0.25">
      <c r="A79" s="1">
        <v>78</v>
      </c>
      <c r="B79" s="1">
        <v>16</v>
      </c>
      <c r="C79" s="1">
        <v>2.2000000000000002</v>
      </c>
      <c r="D79" s="1">
        <v>4.3</v>
      </c>
      <c r="E79" s="1">
        <v>1.2</v>
      </c>
      <c r="F79" s="1">
        <v>88.4</v>
      </c>
      <c r="G79" s="1" t="s">
        <v>14</v>
      </c>
      <c r="H79" s="1">
        <v>40.200000000000003</v>
      </c>
      <c r="I79" s="1" t="s">
        <v>11</v>
      </c>
    </row>
    <row r="80" spans="1:9" x14ac:dyDescent="0.25">
      <c r="A80" s="1">
        <v>79</v>
      </c>
      <c r="B80" s="1">
        <v>16</v>
      </c>
      <c r="C80" s="1">
        <v>3.6</v>
      </c>
      <c r="D80" s="1">
        <v>6.1</v>
      </c>
      <c r="E80" s="1">
        <v>1.6</v>
      </c>
      <c r="F80" s="1">
        <v>65.900000000000006</v>
      </c>
      <c r="G80" s="1" t="s">
        <v>10</v>
      </c>
      <c r="H80" s="1">
        <v>18.3</v>
      </c>
      <c r="I80" s="1" t="s">
        <v>11</v>
      </c>
    </row>
    <row r="81" spans="1:9" x14ac:dyDescent="0.25">
      <c r="A81" s="1">
        <v>80</v>
      </c>
      <c r="B81" s="1">
        <v>16</v>
      </c>
      <c r="C81" s="1">
        <v>2.2000000000000002</v>
      </c>
      <c r="D81" s="1">
        <v>3.3</v>
      </c>
      <c r="E81" s="1">
        <v>1.1000000000000001</v>
      </c>
      <c r="F81" s="1">
        <v>72.599999999999994</v>
      </c>
      <c r="G81" s="1" t="s">
        <v>8</v>
      </c>
      <c r="H81" s="1">
        <v>33</v>
      </c>
      <c r="I81" s="1" t="s">
        <v>9</v>
      </c>
    </row>
    <row r="82" spans="1:9" x14ac:dyDescent="0.25">
      <c r="A82" s="1">
        <v>81</v>
      </c>
      <c r="B82" s="1">
        <v>17</v>
      </c>
      <c r="C82" s="1">
        <v>3.1</v>
      </c>
      <c r="D82" s="1">
        <v>4.5</v>
      </c>
      <c r="E82" s="1">
        <v>0</v>
      </c>
      <c r="F82" s="1">
        <v>47.6</v>
      </c>
      <c r="G82" s="1" t="s">
        <v>12</v>
      </c>
      <c r="H82" s="1">
        <v>15.4</v>
      </c>
      <c r="I82" s="1" t="s">
        <v>11</v>
      </c>
    </row>
    <row r="83" spans="1:9" x14ac:dyDescent="0.25">
      <c r="A83" s="1">
        <v>82</v>
      </c>
      <c r="B83" s="1">
        <v>13</v>
      </c>
      <c r="C83" s="1">
        <v>1.4</v>
      </c>
      <c r="D83" s="1">
        <v>4</v>
      </c>
      <c r="E83" s="1">
        <v>1.3</v>
      </c>
      <c r="F83" s="1">
        <v>76.8</v>
      </c>
      <c r="G83" s="1" t="s">
        <v>8</v>
      </c>
      <c r="H83" s="1">
        <v>54.9</v>
      </c>
      <c r="I83" s="1" t="s">
        <v>9</v>
      </c>
    </row>
    <row r="84" spans="1:9" x14ac:dyDescent="0.25">
      <c r="A84" s="1">
        <v>83</v>
      </c>
      <c r="B84" s="1">
        <v>17</v>
      </c>
      <c r="C84" s="1">
        <v>1.2</v>
      </c>
      <c r="D84" s="1">
        <v>6.1</v>
      </c>
      <c r="E84" s="1">
        <v>1.8</v>
      </c>
      <c r="F84" s="1">
        <v>92.6</v>
      </c>
      <c r="G84" s="1" t="s">
        <v>14</v>
      </c>
      <c r="H84" s="1">
        <v>77.2</v>
      </c>
      <c r="I84" s="1" t="s">
        <v>11</v>
      </c>
    </row>
    <row r="85" spans="1:9" x14ac:dyDescent="0.25">
      <c r="A85" s="1">
        <v>84</v>
      </c>
      <c r="B85" s="1">
        <v>17</v>
      </c>
      <c r="C85" s="1">
        <v>1.7</v>
      </c>
      <c r="D85" s="1">
        <v>3</v>
      </c>
      <c r="E85" s="1">
        <v>1</v>
      </c>
      <c r="F85" s="1">
        <v>60.7</v>
      </c>
      <c r="G85" s="1" t="s">
        <v>10</v>
      </c>
      <c r="H85" s="1">
        <v>35.700000000000003</v>
      </c>
      <c r="I85" s="1" t="s">
        <v>9</v>
      </c>
    </row>
    <row r="86" spans="1:9" x14ac:dyDescent="0.25">
      <c r="A86" s="1">
        <v>85</v>
      </c>
      <c r="B86" s="1">
        <v>13</v>
      </c>
      <c r="C86" s="1">
        <v>1.5</v>
      </c>
      <c r="D86" s="1">
        <v>5.7</v>
      </c>
      <c r="E86" s="1">
        <v>1.3</v>
      </c>
      <c r="F86" s="1">
        <v>100</v>
      </c>
      <c r="G86" s="1" t="s">
        <v>14</v>
      </c>
      <c r="H86" s="1">
        <v>66.7</v>
      </c>
      <c r="I86" s="1" t="s">
        <v>11</v>
      </c>
    </row>
    <row r="87" spans="1:9" x14ac:dyDescent="0.25">
      <c r="A87" s="1">
        <v>86</v>
      </c>
      <c r="B87" s="1">
        <v>13</v>
      </c>
      <c r="C87" s="1">
        <v>1.3</v>
      </c>
      <c r="D87" s="1">
        <v>3.4</v>
      </c>
      <c r="E87" s="1">
        <v>1.4</v>
      </c>
      <c r="F87" s="1">
        <v>71.8</v>
      </c>
      <c r="G87" s="1" t="s">
        <v>8</v>
      </c>
      <c r="H87" s="1">
        <v>55.2</v>
      </c>
      <c r="I87" s="1" t="s">
        <v>9</v>
      </c>
    </row>
    <row r="88" spans="1:9" x14ac:dyDescent="0.25">
      <c r="A88" s="1">
        <v>87</v>
      </c>
      <c r="B88" s="1">
        <v>13</v>
      </c>
      <c r="C88" s="1">
        <v>2.9</v>
      </c>
      <c r="D88" s="1">
        <v>3</v>
      </c>
      <c r="E88" s="1">
        <v>2.6</v>
      </c>
      <c r="F88" s="1">
        <v>44.3</v>
      </c>
      <c r="G88" s="1" t="s">
        <v>12</v>
      </c>
      <c r="H88" s="1">
        <v>15.3</v>
      </c>
      <c r="I88" s="1" t="s">
        <v>9</v>
      </c>
    </row>
    <row r="89" spans="1:9" x14ac:dyDescent="0.25">
      <c r="A89" s="1">
        <v>88</v>
      </c>
      <c r="B89" s="1">
        <v>13</v>
      </c>
      <c r="C89" s="1">
        <v>4.3</v>
      </c>
      <c r="D89" s="1">
        <v>4.2</v>
      </c>
      <c r="E89" s="1">
        <v>1.2</v>
      </c>
      <c r="F89" s="1">
        <v>66.099999999999994</v>
      </c>
      <c r="G89" s="1" t="s">
        <v>10</v>
      </c>
      <c r="H89" s="1">
        <v>15.4</v>
      </c>
      <c r="I89" s="1" t="s">
        <v>11</v>
      </c>
    </row>
    <row r="90" spans="1:9" x14ac:dyDescent="0.25">
      <c r="A90" s="1">
        <v>89</v>
      </c>
      <c r="B90" s="1">
        <v>16</v>
      </c>
      <c r="C90" s="1">
        <v>1.8</v>
      </c>
      <c r="D90" s="1">
        <v>4.5</v>
      </c>
      <c r="E90" s="1">
        <v>2.6</v>
      </c>
      <c r="F90" s="1">
        <v>83.3</v>
      </c>
      <c r="G90" s="1" t="s">
        <v>8</v>
      </c>
      <c r="H90" s="1">
        <v>46.3</v>
      </c>
      <c r="I90" s="1" t="s">
        <v>11</v>
      </c>
    </row>
    <row r="91" spans="1:9" x14ac:dyDescent="0.25">
      <c r="A91" s="1">
        <v>90</v>
      </c>
      <c r="B91" s="1">
        <v>15</v>
      </c>
      <c r="C91" s="1">
        <v>2.5</v>
      </c>
      <c r="D91" s="1">
        <v>6.9</v>
      </c>
      <c r="E91" s="1">
        <v>0</v>
      </c>
      <c r="F91" s="1">
        <v>90</v>
      </c>
      <c r="G91" s="1" t="s">
        <v>14</v>
      </c>
      <c r="H91" s="1">
        <v>36</v>
      </c>
      <c r="I91" s="1" t="s">
        <v>11</v>
      </c>
    </row>
    <row r="92" spans="1:9" x14ac:dyDescent="0.25">
      <c r="A92" s="1">
        <v>91</v>
      </c>
      <c r="B92" s="1">
        <v>15</v>
      </c>
      <c r="C92" s="1">
        <v>3.2</v>
      </c>
      <c r="D92" s="1">
        <v>4.5</v>
      </c>
      <c r="E92" s="1">
        <v>2.6</v>
      </c>
      <c r="F92" s="1">
        <v>77.2</v>
      </c>
      <c r="G92" s="1" t="s">
        <v>8</v>
      </c>
      <c r="H92" s="1">
        <v>24.1</v>
      </c>
      <c r="I92" s="1" t="s">
        <v>11</v>
      </c>
    </row>
    <row r="93" spans="1:9" x14ac:dyDescent="0.25">
      <c r="A93" s="1">
        <v>92</v>
      </c>
      <c r="B93" s="1">
        <v>13</v>
      </c>
      <c r="C93" s="1">
        <v>1.1000000000000001</v>
      </c>
      <c r="D93" s="1">
        <v>4.3</v>
      </c>
      <c r="E93" s="1">
        <v>2.5</v>
      </c>
      <c r="F93" s="1">
        <v>85.7</v>
      </c>
      <c r="G93" s="1" t="s">
        <v>14</v>
      </c>
      <c r="H93" s="1">
        <v>77.900000000000006</v>
      </c>
      <c r="I93" s="1" t="s">
        <v>11</v>
      </c>
    </row>
    <row r="94" spans="1:9" x14ac:dyDescent="0.25">
      <c r="A94" s="1">
        <v>93</v>
      </c>
      <c r="B94" s="1">
        <v>15</v>
      </c>
      <c r="C94" s="1">
        <v>1.3</v>
      </c>
      <c r="D94" s="1">
        <v>6.4</v>
      </c>
      <c r="E94" s="1">
        <v>2.2000000000000002</v>
      </c>
      <c r="F94" s="1">
        <v>58.2</v>
      </c>
      <c r="G94" s="1" t="s">
        <v>10</v>
      </c>
      <c r="H94" s="1">
        <v>44.8</v>
      </c>
      <c r="I94" s="1" t="s">
        <v>11</v>
      </c>
    </row>
    <row r="95" spans="1:9" x14ac:dyDescent="0.25">
      <c r="A95" s="1">
        <v>94</v>
      </c>
      <c r="B95" s="1">
        <v>15</v>
      </c>
      <c r="C95" s="1">
        <v>3</v>
      </c>
      <c r="D95" s="1">
        <v>4.9000000000000004</v>
      </c>
      <c r="E95" s="1">
        <v>0</v>
      </c>
      <c r="F95" s="1">
        <v>63.2</v>
      </c>
      <c r="G95" s="1" t="s">
        <v>10</v>
      </c>
      <c r="H95" s="1">
        <v>21.1</v>
      </c>
      <c r="I95" s="1" t="s">
        <v>11</v>
      </c>
    </row>
    <row r="96" spans="1:9" x14ac:dyDescent="0.25">
      <c r="A96" s="1">
        <v>95</v>
      </c>
      <c r="B96" s="1">
        <v>13</v>
      </c>
      <c r="C96" s="1">
        <v>2.2999999999999998</v>
      </c>
      <c r="D96" s="1">
        <v>3</v>
      </c>
      <c r="E96" s="1">
        <v>2.2999999999999998</v>
      </c>
      <c r="F96" s="1">
        <v>53.2</v>
      </c>
      <c r="G96" s="1" t="s">
        <v>10</v>
      </c>
      <c r="H96" s="1">
        <v>23.1</v>
      </c>
      <c r="I96" s="1" t="s">
        <v>9</v>
      </c>
    </row>
    <row r="97" spans="1:9" x14ac:dyDescent="0.25">
      <c r="A97" s="1">
        <v>96</v>
      </c>
      <c r="B97" s="1">
        <v>15</v>
      </c>
      <c r="C97" s="1">
        <v>1.8</v>
      </c>
      <c r="D97" s="1">
        <v>6</v>
      </c>
      <c r="E97" s="1">
        <v>1.5</v>
      </c>
      <c r="F97" s="1">
        <v>63.9</v>
      </c>
      <c r="G97" s="1" t="s">
        <v>10</v>
      </c>
      <c r="H97" s="1">
        <v>35.5</v>
      </c>
      <c r="I97" s="1" t="s">
        <v>11</v>
      </c>
    </row>
    <row r="98" spans="1:9" x14ac:dyDescent="0.25">
      <c r="A98" s="1">
        <v>97</v>
      </c>
      <c r="B98" s="1">
        <v>17</v>
      </c>
      <c r="C98" s="1">
        <v>2.6</v>
      </c>
      <c r="D98" s="1">
        <v>2.9</v>
      </c>
      <c r="E98" s="1">
        <v>0</v>
      </c>
      <c r="F98" s="1">
        <v>77.599999999999994</v>
      </c>
      <c r="G98" s="1" t="s">
        <v>8</v>
      </c>
      <c r="H98" s="1">
        <v>29.8</v>
      </c>
      <c r="I98" s="1" t="s">
        <v>9</v>
      </c>
    </row>
    <row r="99" spans="1:9" x14ac:dyDescent="0.25">
      <c r="A99" s="1">
        <v>98</v>
      </c>
      <c r="B99" s="1">
        <v>14</v>
      </c>
      <c r="C99" s="1">
        <v>2.1</v>
      </c>
      <c r="D99" s="1">
        <v>3</v>
      </c>
      <c r="E99" s="1">
        <v>2.5</v>
      </c>
      <c r="F99" s="1">
        <v>72.099999999999994</v>
      </c>
      <c r="G99" s="1" t="s">
        <v>8</v>
      </c>
      <c r="H99" s="1">
        <v>34.299999999999997</v>
      </c>
      <c r="I99" s="1" t="s">
        <v>9</v>
      </c>
    </row>
    <row r="100" spans="1:9" x14ac:dyDescent="0.25">
      <c r="A100" s="1">
        <v>99</v>
      </c>
      <c r="B100" s="1">
        <v>14</v>
      </c>
      <c r="C100" s="1">
        <v>4.4000000000000004</v>
      </c>
      <c r="D100" s="1">
        <v>2.7</v>
      </c>
      <c r="E100" s="1">
        <v>2.7</v>
      </c>
      <c r="F100" s="1">
        <v>78.7</v>
      </c>
      <c r="G100" s="1" t="s">
        <v>8</v>
      </c>
      <c r="H100" s="1">
        <v>17.899999999999999</v>
      </c>
      <c r="I100" s="1" t="s">
        <v>9</v>
      </c>
    </row>
    <row r="101" spans="1:9" x14ac:dyDescent="0.25">
      <c r="A101" s="1">
        <v>100</v>
      </c>
      <c r="B101" s="1">
        <v>13</v>
      </c>
      <c r="C101" s="1">
        <v>1.8</v>
      </c>
      <c r="D101" s="1">
        <v>2.6</v>
      </c>
      <c r="E101" s="1">
        <v>0</v>
      </c>
      <c r="F101" s="1">
        <v>60.6</v>
      </c>
      <c r="G101" s="1" t="s">
        <v>10</v>
      </c>
      <c r="H101" s="1">
        <v>33.700000000000003</v>
      </c>
      <c r="I101" s="1" t="s">
        <v>9</v>
      </c>
    </row>
    <row r="102" spans="1:9" x14ac:dyDescent="0.25">
      <c r="A102" s="1">
        <v>101</v>
      </c>
      <c r="B102" s="1">
        <v>16</v>
      </c>
      <c r="C102" s="1">
        <v>1.6</v>
      </c>
      <c r="D102" s="1">
        <v>4.5</v>
      </c>
      <c r="E102" s="1">
        <v>1.6</v>
      </c>
      <c r="F102" s="1">
        <v>61.2</v>
      </c>
      <c r="G102" s="1" t="s">
        <v>10</v>
      </c>
      <c r="H102" s="1">
        <v>38.200000000000003</v>
      </c>
      <c r="I102" s="1" t="s">
        <v>11</v>
      </c>
    </row>
    <row r="103" spans="1:9" x14ac:dyDescent="0.25">
      <c r="A103" s="1">
        <v>102</v>
      </c>
      <c r="B103" s="1">
        <v>13</v>
      </c>
      <c r="C103" s="1">
        <v>2</v>
      </c>
      <c r="D103" s="1">
        <v>3.6</v>
      </c>
      <c r="E103" s="1">
        <v>2.6</v>
      </c>
      <c r="F103" s="1">
        <v>72</v>
      </c>
      <c r="G103" s="1" t="s">
        <v>8</v>
      </c>
      <c r="H103" s="1">
        <v>36</v>
      </c>
      <c r="I103" s="1" t="s">
        <v>9</v>
      </c>
    </row>
    <row r="104" spans="1:9" x14ac:dyDescent="0.25">
      <c r="A104" s="1">
        <v>103</v>
      </c>
      <c r="B104" s="1">
        <v>16</v>
      </c>
      <c r="C104" s="1">
        <v>2.1</v>
      </c>
      <c r="D104" s="1">
        <v>0</v>
      </c>
      <c r="E104" s="1">
        <v>2.5</v>
      </c>
      <c r="F104" s="1">
        <v>64</v>
      </c>
      <c r="G104" s="1" t="s">
        <v>10</v>
      </c>
      <c r="H104" s="1">
        <v>30.5</v>
      </c>
      <c r="I104" s="1" t="s">
        <v>13</v>
      </c>
    </row>
    <row r="105" spans="1:9" x14ac:dyDescent="0.25">
      <c r="A105" s="1">
        <v>104</v>
      </c>
      <c r="B105" s="1">
        <v>14</v>
      </c>
      <c r="C105" s="1">
        <v>2.5</v>
      </c>
      <c r="D105" s="1">
        <v>3.6</v>
      </c>
      <c r="E105" s="1">
        <v>2.2000000000000002</v>
      </c>
      <c r="F105" s="1">
        <v>83</v>
      </c>
      <c r="G105" s="1" t="s">
        <v>8</v>
      </c>
      <c r="H105" s="1">
        <v>33.200000000000003</v>
      </c>
      <c r="I105" s="1" t="s">
        <v>9</v>
      </c>
    </row>
    <row r="106" spans="1:9" x14ac:dyDescent="0.25">
      <c r="A106" s="1">
        <v>105</v>
      </c>
      <c r="B106" s="1">
        <v>13</v>
      </c>
      <c r="C106" s="1">
        <v>0.5</v>
      </c>
      <c r="D106" s="1">
        <v>3.2</v>
      </c>
      <c r="E106" s="1">
        <v>0</v>
      </c>
      <c r="F106" s="1">
        <v>63.7</v>
      </c>
      <c r="G106" s="1" t="s">
        <v>10</v>
      </c>
      <c r="H106" s="1">
        <v>127.4</v>
      </c>
      <c r="I106" s="1" t="s">
        <v>9</v>
      </c>
    </row>
    <row r="107" spans="1:9" x14ac:dyDescent="0.25">
      <c r="A107" s="1">
        <v>106</v>
      </c>
      <c r="B107" s="1">
        <v>17</v>
      </c>
      <c r="C107" s="1">
        <v>2.9</v>
      </c>
      <c r="D107" s="1">
        <v>5.3</v>
      </c>
      <c r="E107" s="1">
        <v>2.1</v>
      </c>
      <c r="F107" s="1">
        <v>65</v>
      </c>
      <c r="G107" s="1" t="s">
        <v>10</v>
      </c>
      <c r="H107" s="1">
        <v>22.4</v>
      </c>
      <c r="I107" s="1" t="s">
        <v>11</v>
      </c>
    </row>
    <row r="108" spans="1:9" x14ac:dyDescent="0.25">
      <c r="A108" s="1">
        <v>107</v>
      </c>
      <c r="B108" s="1">
        <v>15</v>
      </c>
      <c r="C108" s="1">
        <v>2</v>
      </c>
      <c r="D108" s="1">
        <v>3.2</v>
      </c>
      <c r="E108" s="1">
        <v>1.3</v>
      </c>
      <c r="F108" s="1">
        <v>74.2</v>
      </c>
      <c r="G108" s="1" t="s">
        <v>8</v>
      </c>
      <c r="H108" s="1">
        <v>37.1</v>
      </c>
      <c r="I108" s="1" t="s">
        <v>9</v>
      </c>
    </row>
    <row r="109" spans="1:9" x14ac:dyDescent="0.25">
      <c r="A109" s="1">
        <v>108</v>
      </c>
      <c r="B109" s="1">
        <v>16</v>
      </c>
      <c r="C109" s="1">
        <v>3.3</v>
      </c>
      <c r="D109" s="1">
        <v>7.8</v>
      </c>
      <c r="E109" s="1">
        <v>2.2999999999999998</v>
      </c>
      <c r="F109" s="1">
        <v>66.099999999999994</v>
      </c>
      <c r="G109" s="1" t="s">
        <v>10</v>
      </c>
      <c r="H109" s="1">
        <v>20</v>
      </c>
      <c r="I109" s="1" t="s">
        <v>11</v>
      </c>
    </row>
    <row r="110" spans="1:9" x14ac:dyDescent="0.25">
      <c r="A110" s="1">
        <v>109</v>
      </c>
      <c r="B110" s="1">
        <v>15</v>
      </c>
      <c r="C110" s="1">
        <v>2.5</v>
      </c>
      <c r="D110" s="1">
        <v>6.1</v>
      </c>
      <c r="E110" s="1">
        <v>1.7</v>
      </c>
      <c r="F110" s="1">
        <v>57.7</v>
      </c>
      <c r="G110" s="1" t="s">
        <v>10</v>
      </c>
      <c r="H110" s="1">
        <v>23.1</v>
      </c>
      <c r="I110" s="1" t="s">
        <v>11</v>
      </c>
    </row>
    <row r="111" spans="1:9" x14ac:dyDescent="0.25">
      <c r="A111" s="1">
        <v>110</v>
      </c>
      <c r="B111" s="1">
        <v>15</v>
      </c>
      <c r="C111" s="1">
        <v>3</v>
      </c>
      <c r="D111" s="1">
        <v>3.4</v>
      </c>
      <c r="E111" s="1">
        <v>1.5</v>
      </c>
      <c r="F111" s="1">
        <v>59</v>
      </c>
      <c r="G111" s="1" t="s">
        <v>10</v>
      </c>
      <c r="H111" s="1">
        <v>19.7</v>
      </c>
      <c r="I111" s="1" t="s">
        <v>9</v>
      </c>
    </row>
    <row r="112" spans="1:9" x14ac:dyDescent="0.25">
      <c r="A112" s="1">
        <v>111</v>
      </c>
      <c r="B112" s="1">
        <v>13</v>
      </c>
      <c r="C112" s="1">
        <v>2.1</v>
      </c>
      <c r="D112" s="1">
        <v>5.7</v>
      </c>
      <c r="E112" s="1">
        <v>2</v>
      </c>
      <c r="F112" s="1">
        <v>75.400000000000006</v>
      </c>
      <c r="G112" s="1" t="s">
        <v>8</v>
      </c>
      <c r="H112" s="1">
        <v>35.9</v>
      </c>
      <c r="I112" s="1" t="s">
        <v>11</v>
      </c>
    </row>
    <row r="113" spans="1:9" x14ac:dyDescent="0.25">
      <c r="A113" s="1">
        <v>112</v>
      </c>
      <c r="B113" s="1">
        <v>15</v>
      </c>
      <c r="C113" s="1">
        <v>2.9</v>
      </c>
      <c r="D113" s="1">
        <v>4.0999999999999996</v>
      </c>
      <c r="E113" s="1">
        <v>1.4</v>
      </c>
      <c r="F113" s="1">
        <v>56.4</v>
      </c>
      <c r="G113" s="1" t="s">
        <v>10</v>
      </c>
      <c r="H113" s="1">
        <v>19.399999999999999</v>
      </c>
      <c r="I113" s="1" t="s">
        <v>11</v>
      </c>
    </row>
    <row r="114" spans="1:9" x14ac:dyDescent="0.25">
      <c r="A114" s="1">
        <v>113</v>
      </c>
      <c r="B114" s="1">
        <v>17</v>
      </c>
      <c r="C114" s="1">
        <v>4.2</v>
      </c>
      <c r="D114" s="1">
        <v>4.4000000000000004</v>
      </c>
      <c r="E114" s="1">
        <v>1.5</v>
      </c>
      <c r="F114" s="1">
        <v>84</v>
      </c>
      <c r="G114" s="1" t="s">
        <v>8</v>
      </c>
      <c r="H114" s="1">
        <v>20</v>
      </c>
      <c r="I114" s="1" t="s">
        <v>11</v>
      </c>
    </row>
    <row r="115" spans="1:9" x14ac:dyDescent="0.25">
      <c r="A115" s="1">
        <v>114</v>
      </c>
      <c r="B115" s="1">
        <v>15</v>
      </c>
      <c r="C115" s="1">
        <v>1.8</v>
      </c>
      <c r="D115" s="1">
        <v>5.2</v>
      </c>
      <c r="E115" s="1">
        <v>1.1000000000000001</v>
      </c>
      <c r="F115" s="1">
        <v>63.1</v>
      </c>
      <c r="G115" s="1" t="s">
        <v>10</v>
      </c>
      <c r="H115" s="1">
        <v>35.1</v>
      </c>
      <c r="I115" s="1" t="s">
        <v>11</v>
      </c>
    </row>
    <row r="116" spans="1:9" x14ac:dyDescent="0.25">
      <c r="A116" s="1">
        <v>115</v>
      </c>
      <c r="B116" s="1">
        <v>13</v>
      </c>
      <c r="C116" s="1">
        <v>2.4</v>
      </c>
      <c r="D116" s="1">
        <v>4.0999999999999996</v>
      </c>
      <c r="E116" s="1">
        <v>0.2</v>
      </c>
      <c r="F116" s="1">
        <v>76.2</v>
      </c>
      <c r="G116" s="1" t="s">
        <v>8</v>
      </c>
      <c r="H116" s="1">
        <v>31.8</v>
      </c>
      <c r="I116" s="1" t="s">
        <v>11</v>
      </c>
    </row>
    <row r="117" spans="1:9" x14ac:dyDescent="0.25">
      <c r="A117" s="1">
        <v>116</v>
      </c>
      <c r="B117" s="1">
        <v>17</v>
      </c>
      <c r="C117" s="1">
        <v>2</v>
      </c>
      <c r="D117" s="1">
        <v>4.4000000000000004</v>
      </c>
      <c r="E117" s="1">
        <v>2</v>
      </c>
      <c r="F117" s="1">
        <v>63.7</v>
      </c>
      <c r="G117" s="1" t="s">
        <v>10</v>
      </c>
      <c r="H117" s="1">
        <v>31.8</v>
      </c>
      <c r="I117" s="1" t="s">
        <v>11</v>
      </c>
    </row>
    <row r="118" spans="1:9" x14ac:dyDescent="0.25">
      <c r="A118" s="1">
        <v>117</v>
      </c>
      <c r="B118" s="1">
        <v>14</v>
      </c>
      <c r="C118" s="1">
        <v>4.0999999999999996</v>
      </c>
      <c r="D118" s="1">
        <v>5.2</v>
      </c>
      <c r="E118" s="1">
        <v>0.9</v>
      </c>
      <c r="F118" s="1">
        <v>60.8</v>
      </c>
      <c r="G118" s="1" t="s">
        <v>10</v>
      </c>
      <c r="H118" s="1">
        <v>14.8</v>
      </c>
      <c r="I118" s="1" t="s">
        <v>11</v>
      </c>
    </row>
    <row r="119" spans="1:9" x14ac:dyDescent="0.25">
      <c r="A119" s="1">
        <v>118</v>
      </c>
      <c r="B119" s="1">
        <v>15</v>
      </c>
      <c r="C119" s="1">
        <v>2.1</v>
      </c>
      <c r="D119" s="1">
        <v>7.1</v>
      </c>
      <c r="E119" s="1">
        <v>1.3</v>
      </c>
      <c r="F119" s="1">
        <v>72.5</v>
      </c>
      <c r="G119" s="1" t="s">
        <v>8</v>
      </c>
      <c r="H119" s="1">
        <v>34.5</v>
      </c>
      <c r="I119" s="1" t="s">
        <v>11</v>
      </c>
    </row>
    <row r="120" spans="1:9" x14ac:dyDescent="0.25">
      <c r="A120" s="1">
        <v>119</v>
      </c>
      <c r="B120" s="1">
        <v>13</v>
      </c>
      <c r="C120" s="1">
        <v>1.8</v>
      </c>
      <c r="D120" s="1">
        <v>4.4000000000000004</v>
      </c>
      <c r="E120" s="1">
        <v>1.7</v>
      </c>
      <c r="F120" s="1">
        <v>80.5</v>
      </c>
      <c r="G120" s="1" t="s">
        <v>8</v>
      </c>
      <c r="H120" s="1">
        <v>44.7</v>
      </c>
      <c r="I120" s="1" t="s">
        <v>11</v>
      </c>
    </row>
    <row r="121" spans="1:9" x14ac:dyDescent="0.25">
      <c r="A121" s="1">
        <v>120</v>
      </c>
      <c r="B121" s="1">
        <v>14</v>
      </c>
      <c r="C121" s="1">
        <v>1.9</v>
      </c>
      <c r="D121" s="1">
        <v>3.3</v>
      </c>
      <c r="E121" s="1">
        <v>0</v>
      </c>
      <c r="F121" s="1">
        <v>67.5</v>
      </c>
      <c r="G121" s="1" t="s">
        <v>10</v>
      </c>
      <c r="H121" s="1">
        <v>35.5</v>
      </c>
      <c r="I121" s="1" t="s">
        <v>9</v>
      </c>
    </row>
    <row r="122" spans="1:9" x14ac:dyDescent="0.25">
      <c r="A122" s="1">
        <v>121</v>
      </c>
      <c r="B122" s="1">
        <v>14</v>
      </c>
      <c r="C122" s="1">
        <v>2.4</v>
      </c>
      <c r="D122" s="1">
        <v>1</v>
      </c>
      <c r="E122" s="1">
        <v>0</v>
      </c>
      <c r="F122" s="1">
        <v>69.3</v>
      </c>
      <c r="G122" s="1" t="s">
        <v>10</v>
      </c>
      <c r="H122" s="1">
        <v>28.9</v>
      </c>
      <c r="I122" s="1" t="s">
        <v>15</v>
      </c>
    </row>
    <row r="123" spans="1:9" x14ac:dyDescent="0.25">
      <c r="A123" s="1">
        <v>122</v>
      </c>
      <c r="B123" s="1">
        <v>16</v>
      </c>
      <c r="C123" s="1">
        <v>1.7</v>
      </c>
      <c r="D123" s="1">
        <v>6.9</v>
      </c>
      <c r="E123" s="1">
        <v>1.3</v>
      </c>
      <c r="F123" s="1">
        <v>78.099999999999994</v>
      </c>
      <c r="G123" s="1" t="s">
        <v>8</v>
      </c>
      <c r="H123" s="1">
        <v>45.9</v>
      </c>
      <c r="I123" s="1" t="s">
        <v>11</v>
      </c>
    </row>
    <row r="124" spans="1:9" x14ac:dyDescent="0.25">
      <c r="A124" s="1">
        <v>123</v>
      </c>
      <c r="B124" s="1">
        <v>17</v>
      </c>
      <c r="C124" s="1">
        <v>2.1</v>
      </c>
      <c r="D124" s="1">
        <v>3.6</v>
      </c>
      <c r="E124" s="1">
        <v>1.9</v>
      </c>
      <c r="F124" s="1">
        <v>78.400000000000006</v>
      </c>
      <c r="G124" s="1" t="s">
        <v>8</v>
      </c>
      <c r="H124" s="1">
        <v>37.299999999999997</v>
      </c>
      <c r="I124" s="1" t="s">
        <v>9</v>
      </c>
    </row>
    <row r="125" spans="1:9" x14ac:dyDescent="0.25">
      <c r="A125" s="1">
        <v>124</v>
      </c>
      <c r="B125" s="1">
        <v>15</v>
      </c>
      <c r="C125" s="1">
        <v>2.7</v>
      </c>
      <c r="D125" s="1">
        <v>4.8</v>
      </c>
      <c r="E125" s="1">
        <v>2.1</v>
      </c>
      <c r="F125" s="1">
        <v>69.599999999999994</v>
      </c>
      <c r="G125" s="1" t="s">
        <v>10</v>
      </c>
      <c r="H125" s="1">
        <v>25.8</v>
      </c>
      <c r="I125" s="1" t="s">
        <v>11</v>
      </c>
    </row>
    <row r="126" spans="1:9" x14ac:dyDescent="0.25">
      <c r="A126" s="1">
        <v>125</v>
      </c>
      <c r="B126" s="1">
        <v>13</v>
      </c>
      <c r="C126" s="1">
        <v>2.4</v>
      </c>
      <c r="D126" s="1">
        <v>6.9</v>
      </c>
      <c r="E126" s="1">
        <v>0.2</v>
      </c>
      <c r="F126" s="1">
        <v>65.599999999999994</v>
      </c>
      <c r="G126" s="1" t="s">
        <v>10</v>
      </c>
      <c r="H126" s="1">
        <v>27.3</v>
      </c>
      <c r="I126" s="1" t="s">
        <v>11</v>
      </c>
    </row>
    <row r="127" spans="1:9" x14ac:dyDescent="0.25">
      <c r="A127" s="1">
        <v>126</v>
      </c>
      <c r="B127" s="1">
        <v>16</v>
      </c>
      <c r="C127" s="1">
        <v>3.3</v>
      </c>
      <c r="D127" s="1">
        <v>4.3</v>
      </c>
      <c r="E127" s="1">
        <v>2</v>
      </c>
      <c r="F127" s="1">
        <v>70.8</v>
      </c>
      <c r="G127" s="1" t="s">
        <v>8</v>
      </c>
      <c r="H127" s="1">
        <v>21.5</v>
      </c>
      <c r="I127" s="1" t="s">
        <v>11</v>
      </c>
    </row>
    <row r="128" spans="1:9" x14ac:dyDescent="0.25">
      <c r="A128" s="1">
        <v>127</v>
      </c>
      <c r="B128" s="1">
        <v>17</v>
      </c>
      <c r="C128" s="1">
        <v>2.2000000000000002</v>
      </c>
      <c r="D128" s="1">
        <v>3.7</v>
      </c>
      <c r="E128" s="1">
        <v>1.3</v>
      </c>
      <c r="F128" s="1">
        <v>68.099999999999994</v>
      </c>
      <c r="G128" s="1" t="s">
        <v>10</v>
      </c>
      <c r="H128" s="1">
        <v>31</v>
      </c>
      <c r="I128" s="1" t="s">
        <v>9</v>
      </c>
    </row>
    <row r="129" spans="1:9" x14ac:dyDescent="0.25">
      <c r="A129" s="1">
        <v>128</v>
      </c>
      <c r="B129" s="1">
        <v>16</v>
      </c>
      <c r="C129" s="1">
        <v>2.2999999999999998</v>
      </c>
      <c r="D129" s="1">
        <v>6.1</v>
      </c>
      <c r="E129" s="1">
        <v>0.8</v>
      </c>
      <c r="F129" s="1">
        <v>73.099999999999994</v>
      </c>
      <c r="G129" s="1" t="s">
        <v>8</v>
      </c>
      <c r="H129" s="1">
        <v>31.8</v>
      </c>
      <c r="I129" s="1" t="s">
        <v>11</v>
      </c>
    </row>
    <row r="130" spans="1:9" x14ac:dyDescent="0.25">
      <c r="A130" s="1">
        <v>129</v>
      </c>
      <c r="B130" s="1">
        <v>17</v>
      </c>
      <c r="C130" s="1">
        <v>2.8</v>
      </c>
      <c r="D130" s="1">
        <v>4.7</v>
      </c>
      <c r="E130" s="1">
        <v>1</v>
      </c>
      <c r="F130" s="1">
        <v>58.1</v>
      </c>
      <c r="G130" s="1" t="s">
        <v>10</v>
      </c>
      <c r="H130" s="1">
        <v>20.8</v>
      </c>
      <c r="I130" s="1" t="s">
        <v>11</v>
      </c>
    </row>
    <row r="131" spans="1:9" x14ac:dyDescent="0.25">
      <c r="A131" s="1">
        <v>130</v>
      </c>
      <c r="B131" s="1">
        <v>17</v>
      </c>
      <c r="C131" s="1">
        <v>4.7</v>
      </c>
      <c r="D131" s="1">
        <v>4.9000000000000004</v>
      </c>
      <c r="E131" s="1">
        <v>2.1</v>
      </c>
      <c r="F131" s="1">
        <v>72.8</v>
      </c>
      <c r="G131" s="1" t="s">
        <v>8</v>
      </c>
      <c r="H131" s="1">
        <v>15.5</v>
      </c>
      <c r="I131" s="1" t="s">
        <v>11</v>
      </c>
    </row>
    <row r="132" spans="1:9" x14ac:dyDescent="0.25">
      <c r="A132" s="1">
        <v>131</v>
      </c>
      <c r="B132" s="1">
        <v>15</v>
      </c>
      <c r="C132" s="1">
        <v>1.7</v>
      </c>
      <c r="D132" s="1">
        <v>1.7</v>
      </c>
      <c r="E132" s="1">
        <v>1.7</v>
      </c>
      <c r="F132" s="1">
        <v>62.8</v>
      </c>
      <c r="G132" s="1" t="s">
        <v>10</v>
      </c>
      <c r="H132" s="1">
        <v>36.9</v>
      </c>
      <c r="I132" s="1" t="s">
        <v>13</v>
      </c>
    </row>
    <row r="133" spans="1:9" x14ac:dyDescent="0.25">
      <c r="A133" s="1">
        <v>132</v>
      </c>
      <c r="B133" s="1">
        <v>17</v>
      </c>
      <c r="C133" s="1">
        <v>4.4000000000000004</v>
      </c>
      <c r="D133" s="1">
        <v>5.8</v>
      </c>
      <c r="E133" s="1">
        <v>1.5</v>
      </c>
      <c r="F133" s="1">
        <v>79.099999999999994</v>
      </c>
      <c r="G133" s="1" t="s">
        <v>8</v>
      </c>
      <c r="H133" s="1">
        <v>18</v>
      </c>
      <c r="I133" s="1" t="s">
        <v>11</v>
      </c>
    </row>
    <row r="134" spans="1:9" x14ac:dyDescent="0.25">
      <c r="A134" s="1">
        <v>133</v>
      </c>
      <c r="B134" s="1">
        <v>16</v>
      </c>
      <c r="C134" s="1">
        <v>1.3</v>
      </c>
      <c r="D134" s="1">
        <v>4.5999999999999996</v>
      </c>
      <c r="E134" s="1">
        <v>1.7</v>
      </c>
      <c r="F134" s="1">
        <v>63.3</v>
      </c>
      <c r="G134" s="1" t="s">
        <v>10</v>
      </c>
      <c r="H134" s="1">
        <v>48.7</v>
      </c>
      <c r="I134" s="1" t="s">
        <v>11</v>
      </c>
    </row>
    <row r="135" spans="1:9" x14ac:dyDescent="0.25">
      <c r="A135" s="1">
        <v>134</v>
      </c>
      <c r="B135" s="1">
        <v>17</v>
      </c>
      <c r="C135" s="1">
        <v>2.7</v>
      </c>
      <c r="D135" s="1">
        <v>1.9</v>
      </c>
      <c r="E135" s="1">
        <v>2.2000000000000002</v>
      </c>
      <c r="F135" s="1">
        <v>63.4</v>
      </c>
      <c r="G135" s="1" t="s">
        <v>10</v>
      </c>
      <c r="H135" s="1">
        <v>23.5</v>
      </c>
      <c r="I135" s="1" t="s">
        <v>13</v>
      </c>
    </row>
    <row r="136" spans="1:9" x14ac:dyDescent="0.25">
      <c r="A136" s="1">
        <v>135</v>
      </c>
      <c r="B136" s="1">
        <v>15</v>
      </c>
      <c r="C136" s="1">
        <v>2.5</v>
      </c>
      <c r="D136" s="1">
        <v>4.7</v>
      </c>
      <c r="E136" s="1">
        <v>1.4</v>
      </c>
      <c r="F136" s="1">
        <v>74.5</v>
      </c>
      <c r="G136" s="1" t="s">
        <v>8</v>
      </c>
      <c r="H136" s="1">
        <v>29.8</v>
      </c>
      <c r="I136" s="1" t="s">
        <v>11</v>
      </c>
    </row>
    <row r="137" spans="1:9" x14ac:dyDescent="0.25">
      <c r="A137" s="1">
        <v>136</v>
      </c>
      <c r="B137" s="1">
        <v>15</v>
      </c>
      <c r="C137" s="1">
        <v>1.7</v>
      </c>
      <c r="D137" s="1">
        <v>0.9</v>
      </c>
      <c r="E137" s="1">
        <v>1.5</v>
      </c>
      <c r="F137" s="1">
        <v>70.099999999999994</v>
      </c>
      <c r="G137" s="1" t="s">
        <v>8</v>
      </c>
      <c r="H137" s="1">
        <v>41.2</v>
      </c>
      <c r="I137" s="1" t="s">
        <v>13</v>
      </c>
    </row>
    <row r="138" spans="1:9" x14ac:dyDescent="0.25">
      <c r="A138" s="1">
        <v>137</v>
      </c>
      <c r="B138" s="1">
        <v>16</v>
      </c>
      <c r="C138" s="1">
        <v>3.2</v>
      </c>
      <c r="D138" s="1">
        <v>7.5</v>
      </c>
      <c r="E138" s="1">
        <v>2.4</v>
      </c>
      <c r="F138" s="1">
        <v>92.8</v>
      </c>
      <c r="G138" s="1" t="s">
        <v>14</v>
      </c>
      <c r="H138" s="1">
        <v>29</v>
      </c>
      <c r="I138" s="1" t="s">
        <v>11</v>
      </c>
    </row>
    <row r="139" spans="1:9" x14ac:dyDescent="0.25">
      <c r="A139" s="1">
        <v>138</v>
      </c>
      <c r="B139" s="1">
        <v>14</v>
      </c>
      <c r="C139" s="1">
        <v>3.1</v>
      </c>
      <c r="D139" s="1">
        <v>2.2999999999999998</v>
      </c>
      <c r="E139" s="1">
        <v>1.2</v>
      </c>
      <c r="F139" s="1">
        <v>70.8</v>
      </c>
      <c r="G139" s="1" t="s">
        <v>8</v>
      </c>
      <c r="H139" s="1">
        <v>22.8</v>
      </c>
      <c r="I139" s="1" t="s">
        <v>9</v>
      </c>
    </row>
    <row r="140" spans="1:9" x14ac:dyDescent="0.25">
      <c r="A140" s="1">
        <v>139</v>
      </c>
      <c r="B140" s="1">
        <v>14</v>
      </c>
      <c r="C140" s="1">
        <v>2</v>
      </c>
      <c r="D140" s="1">
        <v>6.4</v>
      </c>
      <c r="E140" s="1">
        <v>2</v>
      </c>
      <c r="F140" s="1">
        <v>71.099999999999994</v>
      </c>
      <c r="G140" s="1" t="s">
        <v>8</v>
      </c>
      <c r="H140" s="1">
        <v>35.6</v>
      </c>
      <c r="I140" s="1" t="s">
        <v>11</v>
      </c>
    </row>
    <row r="141" spans="1:9" x14ac:dyDescent="0.25">
      <c r="A141" s="1">
        <v>140</v>
      </c>
      <c r="B141" s="1">
        <v>17</v>
      </c>
      <c r="C141" s="1">
        <v>0.4</v>
      </c>
      <c r="D141" s="1">
        <v>2.8</v>
      </c>
      <c r="E141" s="1">
        <v>1.1000000000000001</v>
      </c>
      <c r="F141" s="1">
        <v>81.3</v>
      </c>
      <c r="G141" s="1" t="s">
        <v>8</v>
      </c>
      <c r="H141" s="1">
        <v>203.2</v>
      </c>
      <c r="I141" s="1" t="s">
        <v>9</v>
      </c>
    </row>
    <row r="142" spans="1:9" x14ac:dyDescent="0.25">
      <c r="A142" s="1">
        <v>141</v>
      </c>
      <c r="B142" s="1">
        <v>13</v>
      </c>
      <c r="C142" s="1">
        <v>2.1</v>
      </c>
      <c r="D142" s="1">
        <v>4.8</v>
      </c>
      <c r="E142" s="1">
        <v>1.2</v>
      </c>
      <c r="F142" s="1">
        <v>64.2</v>
      </c>
      <c r="G142" s="1" t="s">
        <v>10</v>
      </c>
      <c r="H142" s="1">
        <v>30.6</v>
      </c>
      <c r="I142" s="1" t="s">
        <v>11</v>
      </c>
    </row>
    <row r="143" spans="1:9" x14ac:dyDescent="0.25">
      <c r="A143" s="1">
        <v>142</v>
      </c>
      <c r="B143" s="1">
        <v>17</v>
      </c>
      <c r="C143" s="1">
        <v>2.6</v>
      </c>
      <c r="D143" s="1">
        <v>2.6</v>
      </c>
      <c r="E143" s="1">
        <v>1.4</v>
      </c>
      <c r="F143" s="1">
        <v>60.9</v>
      </c>
      <c r="G143" s="1" t="s">
        <v>10</v>
      </c>
      <c r="H143" s="1">
        <v>23.4</v>
      </c>
      <c r="I143" s="1" t="s">
        <v>9</v>
      </c>
    </row>
    <row r="144" spans="1:9" x14ac:dyDescent="0.25">
      <c r="A144" s="1">
        <v>143</v>
      </c>
      <c r="B144" s="1">
        <v>16</v>
      </c>
      <c r="C144" s="1">
        <v>2.5</v>
      </c>
      <c r="D144" s="1">
        <v>5.5</v>
      </c>
      <c r="E144" s="1">
        <v>1.9</v>
      </c>
      <c r="F144" s="1">
        <v>61.3</v>
      </c>
      <c r="G144" s="1" t="s">
        <v>10</v>
      </c>
      <c r="H144" s="1">
        <v>24.5</v>
      </c>
      <c r="I144" s="1" t="s">
        <v>11</v>
      </c>
    </row>
    <row r="145" spans="1:9" x14ac:dyDescent="0.25">
      <c r="A145" s="1">
        <v>144</v>
      </c>
      <c r="B145" s="1">
        <v>16</v>
      </c>
      <c r="C145" s="1">
        <v>3.3</v>
      </c>
      <c r="D145" s="1">
        <v>3.6</v>
      </c>
      <c r="E145" s="1">
        <v>2.5</v>
      </c>
      <c r="F145" s="1">
        <v>53.9</v>
      </c>
      <c r="G145" s="1" t="s">
        <v>10</v>
      </c>
      <c r="H145" s="1">
        <v>16.3</v>
      </c>
      <c r="I145" s="1" t="s">
        <v>9</v>
      </c>
    </row>
    <row r="146" spans="1:9" x14ac:dyDescent="0.25">
      <c r="A146" s="1">
        <v>145</v>
      </c>
      <c r="B146" s="1">
        <v>16</v>
      </c>
      <c r="C146" s="1">
        <v>4.4000000000000004</v>
      </c>
      <c r="D146" s="1">
        <v>4.7</v>
      </c>
      <c r="E146" s="1">
        <v>1.6</v>
      </c>
      <c r="F146" s="1">
        <v>83.5</v>
      </c>
      <c r="G146" s="1" t="s">
        <v>8</v>
      </c>
      <c r="H146" s="1">
        <v>19</v>
      </c>
      <c r="I146" s="1" t="s">
        <v>11</v>
      </c>
    </row>
    <row r="147" spans="1:9" x14ac:dyDescent="0.25">
      <c r="A147" s="1">
        <v>146</v>
      </c>
      <c r="B147" s="1">
        <v>16</v>
      </c>
      <c r="C147" s="1">
        <v>2.9</v>
      </c>
      <c r="D147" s="1">
        <v>4</v>
      </c>
      <c r="E147" s="1">
        <v>0.3</v>
      </c>
      <c r="F147" s="1">
        <v>66.7</v>
      </c>
      <c r="G147" s="1" t="s">
        <v>10</v>
      </c>
      <c r="H147" s="1">
        <v>23</v>
      </c>
      <c r="I147" s="1" t="s">
        <v>9</v>
      </c>
    </row>
    <row r="148" spans="1:9" x14ac:dyDescent="0.25">
      <c r="A148" s="1">
        <v>147</v>
      </c>
      <c r="B148" s="1">
        <v>16</v>
      </c>
      <c r="C148" s="1">
        <v>3.1</v>
      </c>
      <c r="D148" s="1">
        <v>2</v>
      </c>
      <c r="E148" s="1">
        <v>2</v>
      </c>
      <c r="F148" s="1">
        <v>65.5</v>
      </c>
      <c r="G148" s="1" t="s">
        <v>10</v>
      </c>
      <c r="H148" s="1">
        <v>21.1</v>
      </c>
      <c r="I148" s="1" t="s">
        <v>13</v>
      </c>
    </row>
    <row r="149" spans="1:9" x14ac:dyDescent="0.25">
      <c r="A149" s="1">
        <v>148</v>
      </c>
      <c r="B149" s="1">
        <v>15</v>
      </c>
      <c r="C149" s="1">
        <v>2.6</v>
      </c>
      <c r="D149" s="1">
        <v>4.8</v>
      </c>
      <c r="E149" s="1">
        <v>3.5</v>
      </c>
      <c r="F149" s="1">
        <v>48.8</v>
      </c>
      <c r="G149" s="1" t="s">
        <v>12</v>
      </c>
      <c r="H149" s="1">
        <v>18.8</v>
      </c>
      <c r="I149" s="1" t="s">
        <v>11</v>
      </c>
    </row>
    <row r="150" spans="1:9" x14ac:dyDescent="0.25">
      <c r="A150" s="1">
        <v>149</v>
      </c>
      <c r="B150" s="1">
        <v>14</v>
      </c>
      <c r="C150" s="1">
        <v>3.7</v>
      </c>
      <c r="D150" s="1">
        <v>3.2</v>
      </c>
      <c r="E150" s="1">
        <v>1.6</v>
      </c>
      <c r="F150" s="1">
        <v>55.7</v>
      </c>
      <c r="G150" s="1" t="s">
        <v>10</v>
      </c>
      <c r="H150" s="1">
        <v>15.1</v>
      </c>
      <c r="I150" s="1" t="s">
        <v>9</v>
      </c>
    </row>
    <row r="151" spans="1:9" x14ac:dyDescent="0.25">
      <c r="A151" s="1">
        <v>150</v>
      </c>
      <c r="B151" s="1">
        <v>16</v>
      </c>
      <c r="C151" s="1">
        <v>3</v>
      </c>
      <c r="D151" s="1">
        <v>5.6</v>
      </c>
      <c r="E151" s="1">
        <v>0.1</v>
      </c>
      <c r="F151" s="1">
        <v>84.7</v>
      </c>
      <c r="G151" s="1" t="s">
        <v>8</v>
      </c>
      <c r="H151" s="1">
        <v>28.2</v>
      </c>
      <c r="I151" s="1" t="s">
        <v>11</v>
      </c>
    </row>
    <row r="152" spans="1:9" x14ac:dyDescent="0.25">
      <c r="A152" s="1">
        <v>151</v>
      </c>
      <c r="B152" s="1">
        <v>13</v>
      </c>
      <c r="C152" s="1">
        <v>3.2</v>
      </c>
      <c r="D152" s="1">
        <v>3.6</v>
      </c>
      <c r="E152" s="1">
        <v>1.6</v>
      </c>
      <c r="F152" s="1">
        <v>73</v>
      </c>
      <c r="G152" s="1" t="s">
        <v>8</v>
      </c>
      <c r="H152" s="1">
        <v>22.8</v>
      </c>
      <c r="I152" s="1" t="s">
        <v>9</v>
      </c>
    </row>
    <row r="153" spans="1:9" x14ac:dyDescent="0.25">
      <c r="A153" s="1">
        <v>152</v>
      </c>
      <c r="B153" s="1">
        <v>13</v>
      </c>
      <c r="C153" s="1">
        <v>4.3</v>
      </c>
      <c r="D153" s="1">
        <v>3.9</v>
      </c>
      <c r="E153" s="1">
        <v>1.5</v>
      </c>
      <c r="F153" s="1">
        <v>81.7</v>
      </c>
      <c r="G153" s="1" t="s">
        <v>8</v>
      </c>
      <c r="H153" s="1">
        <v>19</v>
      </c>
      <c r="I153" s="1" t="s">
        <v>9</v>
      </c>
    </row>
    <row r="154" spans="1:9" x14ac:dyDescent="0.25">
      <c r="A154" s="1">
        <v>153</v>
      </c>
      <c r="B154" s="1">
        <v>13</v>
      </c>
      <c r="C154" s="1">
        <v>2.7</v>
      </c>
      <c r="D154" s="1">
        <v>6.5</v>
      </c>
      <c r="E154" s="1">
        <v>1.4</v>
      </c>
      <c r="F154" s="1">
        <v>80.400000000000006</v>
      </c>
      <c r="G154" s="1" t="s">
        <v>8</v>
      </c>
      <c r="H154" s="1">
        <v>29.8</v>
      </c>
      <c r="I154" s="1" t="s">
        <v>11</v>
      </c>
    </row>
    <row r="155" spans="1:9" x14ac:dyDescent="0.25">
      <c r="A155" s="1">
        <v>154</v>
      </c>
      <c r="B155" s="1">
        <v>13</v>
      </c>
      <c r="C155" s="1">
        <v>2.2000000000000002</v>
      </c>
      <c r="D155" s="1">
        <v>7.6</v>
      </c>
      <c r="E155" s="1">
        <v>2.2999999999999998</v>
      </c>
      <c r="F155" s="1">
        <v>60</v>
      </c>
      <c r="G155" s="1" t="s">
        <v>10</v>
      </c>
      <c r="H155" s="1">
        <v>27.3</v>
      </c>
      <c r="I155" s="1" t="s">
        <v>11</v>
      </c>
    </row>
    <row r="156" spans="1:9" x14ac:dyDescent="0.25">
      <c r="A156" s="1">
        <v>155</v>
      </c>
      <c r="B156" s="1">
        <v>15</v>
      </c>
      <c r="C156" s="1">
        <v>2.9</v>
      </c>
      <c r="D156" s="1">
        <v>5.2</v>
      </c>
      <c r="E156" s="1">
        <v>2.6</v>
      </c>
      <c r="F156" s="1">
        <v>94.3</v>
      </c>
      <c r="G156" s="1" t="s">
        <v>14</v>
      </c>
      <c r="H156" s="1">
        <v>32.5</v>
      </c>
      <c r="I156" s="1" t="s">
        <v>11</v>
      </c>
    </row>
    <row r="157" spans="1:9" x14ac:dyDescent="0.25">
      <c r="A157" s="1">
        <v>156</v>
      </c>
      <c r="B157" s="1">
        <v>13</v>
      </c>
      <c r="C157" s="1">
        <v>3.6</v>
      </c>
      <c r="D157" s="1">
        <v>3.6</v>
      </c>
      <c r="E157" s="1">
        <v>2</v>
      </c>
      <c r="F157" s="1">
        <v>89.5</v>
      </c>
      <c r="G157" s="1" t="s">
        <v>14</v>
      </c>
      <c r="H157" s="1">
        <v>24.9</v>
      </c>
      <c r="I157" s="1" t="s">
        <v>9</v>
      </c>
    </row>
    <row r="158" spans="1:9" x14ac:dyDescent="0.25">
      <c r="A158" s="1">
        <v>157</v>
      </c>
      <c r="B158" s="1">
        <v>16</v>
      </c>
      <c r="C158" s="1">
        <v>3</v>
      </c>
      <c r="D158" s="1">
        <v>3.4</v>
      </c>
      <c r="E158" s="1">
        <v>1.4</v>
      </c>
      <c r="F158" s="1">
        <v>64.400000000000006</v>
      </c>
      <c r="G158" s="1" t="s">
        <v>10</v>
      </c>
      <c r="H158" s="1">
        <v>21.5</v>
      </c>
      <c r="I158" s="1" t="s">
        <v>9</v>
      </c>
    </row>
    <row r="159" spans="1:9" x14ac:dyDescent="0.25">
      <c r="A159" s="1">
        <v>158</v>
      </c>
      <c r="B159" s="1">
        <v>17</v>
      </c>
      <c r="C159" s="1">
        <v>3.6</v>
      </c>
      <c r="D159" s="1">
        <v>2.8</v>
      </c>
      <c r="E159" s="1">
        <v>2.4</v>
      </c>
      <c r="F159" s="1">
        <v>34.299999999999997</v>
      </c>
      <c r="G159" s="1" t="s">
        <v>12</v>
      </c>
      <c r="H159" s="1">
        <v>9.5</v>
      </c>
      <c r="I159" s="1" t="s">
        <v>9</v>
      </c>
    </row>
    <row r="160" spans="1:9" x14ac:dyDescent="0.25">
      <c r="A160" s="1">
        <v>159</v>
      </c>
      <c r="B160" s="1">
        <v>13</v>
      </c>
      <c r="C160" s="1">
        <v>1.8</v>
      </c>
      <c r="D160" s="1">
        <v>3.1</v>
      </c>
      <c r="E160" s="1">
        <v>0.3</v>
      </c>
      <c r="F160" s="1">
        <v>66.400000000000006</v>
      </c>
      <c r="G160" s="1" t="s">
        <v>10</v>
      </c>
      <c r="H160" s="1">
        <v>36.9</v>
      </c>
      <c r="I160" s="1" t="s">
        <v>9</v>
      </c>
    </row>
    <row r="161" spans="1:9" x14ac:dyDescent="0.25">
      <c r="A161" s="1">
        <v>160</v>
      </c>
      <c r="B161" s="1">
        <v>15</v>
      </c>
      <c r="C161" s="1">
        <v>1.6</v>
      </c>
      <c r="D161" s="1">
        <v>3.6</v>
      </c>
      <c r="E161" s="1">
        <v>0.9</v>
      </c>
      <c r="F161" s="1">
        <v>72.400000000000006</v>
      </c>
      <c r="G161" s="1" t="s">
        <v>8</v>
      </c>
      <c r="H161" s="1">
        <v>45.2</v>
      </c>
      <c r="I161" s="1" t="s">
        <v>9</v>
      </c>
    </row>
    <row r="162" spans="1:9" x14ac:dyDescent="0.25">
      <c r="A162" s="1">
        <v>161</v>
      </c>
      <c r="B162" s="1">
        <v>15</v>
      </c>
      <c r="C162" s="1">
        <v>2</v>
      </c>
      <c r="D162" s="1">
        <v>6.9</v>
      </c>
      <c r="E162" s="1">
        <v>1</v>
      </c>
      <c r="F162" s="1">
        <v>64.3</v>
      </c>
      <c r="G162" s="1" t="s">
        <v>10</v>
      </c>
      <c r="H162" s="1">
        <v>32.200000000000003</v>
      </c>
      <c r="I162" s="1" t="s">
        <v>11</v>
      </c>
    </row>
    <row r="163" spans="1:9" x14ac:dyDescent="0.25">
      <c r="A163" s="1">
        <v>162</v>
      </c>
      <c r="B163" s="1">
        <v>13</v>
      </c>
      <c r="C163" s="1">
        <v>1.2</v>
      </c>
      <c r="D163" s="1">
        <v>3.7</v>
      </c>
      <c r="E163" s="1">
        <v>1.5</v>
      </c>
      <c r="F163" s="1">
        <v>67.8</v>
      </c>
      <c r="G163" s="1" t="s">
        <v>10</v>
      </c>
      <c r="H163" s="1">
        <v>56.5</v>
      </c>
      <c r="I163" s="1" t="s">
        <v>9</v>
      </c>
    </row>
    <row r="164" spans="1:9" x14ac:dyDescent="0.25">
      <c r="A164" s="1">
        <v>163</v>
      </c>
      <c r="B164" s="1">
        <v>17</v>
      </c>
      <c r="C164" s="1">
        <v>2.6</v>
      </c>
      <c r="D164" s="1">
        <v>2.2000000000000002</v>
      </c>
      <c r="E164" s="1">
        <v>1.9</v>
      </c>
      <c r="F164" s="1">
        <v>61.7</v>
      </c>
      <c r="G164" s="1" t="s">
        <v>10</v>
      </c>
      <c r="H164" s="1">
        <v>23.7</v>
      </c>
      <c r="I164" s="1" t="s">
        <v>9</v>
      </c>
    </row>
    <row r="165" spans="1:9" x14ac:dyDescent="0.25">
      <c r="A165" s="1">
        <v>164</v>
      </c>
      <c r="B165" s="1">
        <v>13</v>
      </c>
      <c r="C165" s="1">
        <v>2.1</v>
      </c>
      <c r="D165" s="1">
        <v>4.0999999999999996</v>
      </c>
      <c r="E165" s="1">
        <v>1.3</v>
      </c>
      <c r="F165" s="1">
        <v>79.2</v>
      </c>
      <c r="G165" s="1" t="s">
        <v>8</v>
      </c>
      <c r="H165" s="1">
        <v>37.700000000000003</v>
      </c>
      <c r="I165" s="1" t="s">
        <v>11</v>
      </c>
    </row>
    <row r="166" spans="1:9" x14ac:dyDescent="0.25">
      <c r="A166" s="1">
        <v>165</v>
      </c>
      <c r="B166" s="1">
        <v>15</v>
      </c>
      <c r="C166" s="1">
        <v>3.7</v>
      </c>
      <c r="D166" s="1">
        <v>4.3</v>
      </c>
      <c r="E166" s="1">
        <v>0.8</v>
      </c>
      <c r="F166" s="1">
        <v>70.599999999999994</v>
      </c>
      <c r="G166" s="1" t="s">
        <v>8</v>
      </c>
      <c r="H166" s="1">
        <v>19.100000000000001</v>
      </c>
      <c r="I166" s="1" t="s">
        <v>11</v>
      </c>
    </row>
    <row r="167" spans="1:9" x14ac:dyDescent="0.25">
      <c r="A167" s="1">
        <v>166</v>
      </c>
      <c r="B167" s="1">
        <v>14</v>
      </c>
      <c r="C167" s="1">
        <v>1.2</v>
      </c>
      <c r="D167" s="1">
        <v>4.0999999999999996</v>
      </c>
      <c r="E167" s="1">
        <v>2.2999999999999998</v>
      </c>
      <c r="F167" s="1">
        <v>79.5</v>
      </c>
      <c r="G167" s="1" t="s">
        <v>8</v>
      </c>
      <c r="H167" s="1">
        <v>66.2</v>
      </c>
      <c r="I167" s="1" t="s">
        <v>11</v>
      </c>
    </row>
    <row r="168" spans="1:9" x14ac:dyDescent="0.25">
      <c r="A168" s="1">
        <v>167</v>
      </c>
      <c r="B168" s="1">
        <v>16</v>
      </c>
      <c r="C168" s="1">
        <v>4.0999999999999996</v>
      </c>
      <c r="D168" s="1">
        <v>5.2</v>
      </c>
      <c r="E168" s="1">
        <v>1.3</v>
      </c>
      <c r="F168" s="1">
        <v>82.2</v>
      </c>
      <c r="G168" s="1" t="s">
        <v>8</v>
      </c>
      <c r="H168" s="1">
        <v>20</v>
      </c>
      <c r="I168" s="1" t="s">
        <v>11</v>
      </c>
    </row>
    <row r="169" spans="1:9" x14ac:dyDescent="0.25">
      <c r="A169" s="1">
        <v>168</v>
      </c>
      <c r="B169" s="1">
        <v>15</v>
      </c>
      <c r="C169" s="1">
        <v>1.5</v>
      </c>
      <c r="D169" s="1">
        <v>4.0999999999999996</v>
      </c>
      <c r="E169" s="1">
        <v>1.6</v>
      </c>
      <c r="F169" s="1">
        <v>48.3</v>
      </c>
      <c r="G169" s="1" t="s">
        <v>12</v>
      </c>
      <c r="H169" s="1">
        <v>32.200000000000003</v>
      </c>
      <c r="I169" s="1" t="s">
        <v>11</v>
      </c>
    </row>
    <row r="170" spans="1:9" x14ac:dyDescent="0.25">
      <c r="A170" s="1">
        <v>169</v>
      </c>
      <c r="B170" s="1">
        <v>13</v>
      </c>
      <c r="C170" s="1">
        <v>1.3</v>
      </c>
      <c r="D170" s="1">
        <v>5.2</v>
      </c>
      <c r="E170" s="1">
        <v>1.9</v>
      </c>
      <c r="F170" s="1">
        <v>62.3</v>
      </c>
      <c r="G170" s="1" t="s">
        <v>10</v>
      </c>
      <c r="H170" s="1">
        <v>47.9</v>
      </c>
      <c r="I170" s="1" t="s">
        <v>11</v>
      </c>
    </row>
    <row r="171" spans="1:9" x14ac:dyDescent="0.25">
      <c r="A171" s="1">
        <v>170</v>
      </c>
      <c r="B171" s="1">
        <v>16</v>
      </c>
      <c r="C171" s="1">
        <v>1.7</v>
      </c>
      <c r="D171" s="1">
        <v>2.8</v>
      </c>
      <c r="E171" s="1">
        <v>1.5</v>
      </c>
      <c r="F171" s="1">
        <v>63.8</v>
      </c>
      <c r="G171" s="1" t="s">
        <v>10</v>
      </c>
      <c r="H171" s="1">
        <v>37.5</v>
      </c>
      <c r="I171" s="1" t="s">
        <v>9</v>
      </c>
    </row>
    <row r="172" spans="1:9" x14ac:dyDescent="0.25">
      <c r="A172" s="1">
        <v>171</v>
      </c>
      <c r="B172" s="1">
        <v>13</v>
      </c>
      <c r="C172" s="1">
        <v>4.5</v>
      </c>
      <c r="D172" s="1">
        <v>4.0999999999999996</v>
      </c>
      <c r="E172" s="1">
        <v>1.5</v>
      </c>
      <c r="F172" s="1">
        <v>95.7</v>
      </c>
      <c r="G172" s="1" t="s">
        <v>14</v>
      </c>
      <c r="H172" s="1">
        <v>21.3</v>
      </c>
      <c r="I172" s="1" t="s">
        <v>11</v>
      </c>
    </row>
    <row r="173" spans="1:9" x14ac:dyDescent="0.25">
      <c r="A173" s="1">
        <v>172</v>
      </c>
      <c r="B173" s="1">
        <v>13</v>
      </c>
      <c r="C173" s="1">
        <v>2.5</v>
      </c>
      <c r="D173" s="1">
        <v>4.4000000000000004</v>
      </c>
      <c r="E173" s="1">
        <v>2.2999999999999998</v>
      </c>
      <c r="F173" s="1">
        <v>71.5</v>
      </c>
      <c r="G173" s="1" t="s">
        <v>8</v>
      </c>
      <c r="H173" s="1">
        <v>28.6</v>
      </c>
      <c r="I173" s="1" t="s">
        <v>11</v>
      </c>
    </row>
    <row r="174" spans="1:9" x14ac:dyDescent="0.25">
      <c r="A174" s="1">
        <v>173</v>
      </c>
      <c r="B174" s="1">
        <v>14</v>
      </c>
      <c r="C174" s="1">
        <v>3</v>
      </c>
      <c r="D174" s="1">
        <v>4.5999999999999996</v>
      </c>
      <c r="E174" s="1">
        <v>1.6</v>
      </c>
      <c r="F174" s="1">
        <v>70.8</v>
      </c>
      <c r="G174" s="1" t="s">
        <v>8</v>
      </c>
      <c r="H174" s="1">
        <v>23.6</v>
      </c>
      <c r="I174" s="1" t="s">
        <v>11</v>
      </c>
    </row>
    <row r="175" spans="1:9" x14ac:dyDescent="0.25">
      <c r="A175" s="1">
        <v>174</v>
      </c>
      <c r="B175" s="1">
        <v>16</v>
      </c>
      <c r="C175" s="1">
        <v>2.2999999999999998</v>
      </c>
      <c r="D175" s="1">
        <v>2.8</v>
      </c>
      <c r="E175" s="1">
        <v>2.2000000000000002</v>
      </c>
      <c r="F175" s="1">
        <v>51.2</v>
      </c>
      <c r="G175" s="1" t="s">
        <v>10</v>
      </c>
      <c r="H175" s="1">
        <v>22.3</v>
      </c>
      <c r="I175" s="1" t="s">
        <v>9</v>
      </c>
    </row>
    <row r="176" spans="1:9" x14ac:dyDescent="0.25">
      <c r="A176" s="1">
        <v>175</v>
      </c>
      <c r="B176" s="1">
        <v>16</v>
      </c>
      <c r="C176" s="1">
        <v>2.4</v>
      </c>
      <c r="D176" s="1">
        <v>4.7</v>
      </c>
      <c r="E176" s="1">
        <v>1.9</v>
      </c>
      <c r="F176" s="1">
        <v>71.400000000000006</v>
      </c>
      <c r="G176" s="1" t="s">
        <v>8</v>
      </c>
      <c r="H176" s="1">
        <v>29.8</v>
      </c>
      <c r="I176" s="1" t="s">
        <v>11</v>
      </c>
    </row>
    <row r="177" spans="1:9" x14ac:dyDescent="0.25">
      <c r="A177" s="1">
        <v>176</v>
      </c>
      <c r="B177" s="1">
        <v>14</v>
      </c>
      <c r="C177" s="1">
        <v>2</v>
      </c>
      <c r="D177" s="1">
        <v>5</v>
      </c>
      <c r="E177" s="1">
        <v>3.1</v>
      </c>
      <c r="F177" s="1">
        <v>79.8</v>
      </c>
      <c r="G177" s="1" t="s">
        <v>8</v>
      </c>
      <c r="H177" s="1">
        <v>39.9</v>
      </c>
      <c r="I177" s="1" t="s">
        <v>11</v>
      </c>
    </row>
    <row r="178" spans="1:9" x14ac:dyDescent="0.25">
      <c r="A178" s="1">
        <v>177</v>
      </c>
      <c r="B178" s="1">
        <v>15</v>
      </c>
      <c r="C178" s="1">
        <v>2.6</v>
      </c>
      <c r="D178" s="1">
        <v>2.2000000000000002</v>
      </c>
      <c r="E178" s="1">
        <v>1.8</v>
      </c>
      <c r="F178" s="1">
        <v>78.599999999999994</v>
      </c>
      <c r="G178" s="1" t="s">
        <v>8</v>
      </c>
      <c r="H178" s="1">
        <v>30.2</v>
      </c>
      <c r="I178" s="1" t="s">
        <v>9</v>
      </c>
    </row>
    <row r="179" spans="1:9" x14ac:dyDescent="0.25">
      <c r="A179" s="1">
        <v>178</v>
      </c>
      <c r="B179" s="1">
        <v>13</v>
      </c>
      <c r="C179" s="1">
        <v>3</v>
      </c>
      <c r="D179" s="1">
        <v>1.5</v>
      </c>
      <c r="E179" s="1">
        <v>2</v>
      </c>
      <c r="F179" s="1">
        <v>76.2</v>
      </c>
      <c r="G179" s="1" t="s">
        <v>8</v>
      </c>
      <c r="H179" s="1">
        <v>25.4</v>
      </c>
      <c r="I179" s="1" t="s">
        <v>13</v>
      </c>
    </row>
    <row r="180" spans="1:9" x14ac:dyDescent="0.25">
      <c r="A180" s="1">
        <v>179</v>
      </c>
      <c r="B180" s="1">
        <v>17</v>
      </c>
      <c r="C180" s="1">
        <v>4.2</v>
      </c>
      <c r="D180" s="1">
        <v>4.4000000000000004</v>
      </c>
      <c r="E180" s="1">
        <v>2.4</v>
      </c>
      <c r="F180" s="1">
        <v>70.099999999999994</v>
      </c>
      <c r="G180" s="1" t="s">
        <v>8</v>
      </c>
      <c r="H180" s="1">
        <v>16.7</v>
      </c>
      <c r="I180" s="1" t="s">
        <v>11</v>
      </c>
    </row>
    <row r="181" spans="1:9" x14ac:dyDescent="0.25">
      <c r="A181" s="1">
        <v>180</v>
      </c>
      <c r="B181" s="1">
        <v>13</v>
      </c>
      <c r="C181" s="1">
        <v>0.6</v>
      </c>
      <c r="D181" s="1">
        <v>3.3</v>
      </c>
      <c r="E181" s="1">
        <v>1.6</v>
      </c>
      <c r="F181" s="1">
        <v>70.599999999999994</v>
      </c>
      <c r="G181" s="1" t="s">
        <v>8</v>
      </c>
      <c r="H181" s="1">
        <v>117.7</v>
      </c>
      <c r="I181" s="1" t="s">
        <v>9</v>
      </c>
    </row>
    <row r="182" spans="1:9" x14ac:dyDescent="0.25">
      <c r="A182" s="1">
        <v>181</v>
      </c>
      <c r="B182" s="1">
        <v>13</v>
      </c>
      <c r="C182" s="1">
        <v>4.0999999999999996</v>
      </c>
      <c r="D182" s="1">
        <v>4.4000000000000004</v>
      </c>
      <c r="E182" s="1">
        <v>1</v>
      </c>
      <c r="F182" s="1">
        <v>53.1</v>
      </c>
      <c r="G182" s="1" t="s">
        <v>10</v>
      </c>
      <c r="H182" s="1">
        <v>13</v>
      </c>
      <c r="I182" s="1" t="s">
        <v>11</v>
      </c>
    </row>
    <row r="183" spans="1:9" x14ac:dyDescent="0.25">
      <c r="A183" s="1">
        <v>182</v>
      </c>
      <c r="B183" s="1">
        <v>15</v>
      </c>
      <c r="C183" s="1">
        <v>3</v>
      </c>
      <c r="D183" s="1">
        <v>2.1</v>
      </c>
      <c r="E183" s="1">
        <v>1.1000000000000001</v>
      </c>
      <c r="F183" s="1">
        <v>61</v>
      </c>
      <c r="G183" s="1" t="s">
        <v>10</v>
      </c>
      <c r="H183" s="1">
        <v>20.3</v>
      </c>
      <c r="I183" s="1" t="s">
        <v>9</v>
      </c>
    </row>
    <row r="184" spans="1:9" x14ac:dyDescent="0.25">
      <c r="A184" s="1">
        <v>183</v>
      </c>
      <c r="B184" s="1">
        <v>13</v>
      </c>
      <c r="C184" s="1">
        <v>2.1</v>
      </c>
      <c r="D184" s="1">
        <v>1.7</v>
      </c>
      <c r="E184" s="1">
        <v>1.1000000000000001</v>
      </c>
      <c r="F184" s="1">
        <v>72.3</v>
      </c>
      <c r="G184" s="1" t="s">
        <v>8</v>
      </c>
      <c r="H184" s="1">
        <v>34.4</v>
      </c>
      <c r="I184" s="1" t="s">
        <v>13</v>
      </c>
    </row>
    <row r="185" spans="1:9" x14ac:dyDescent="0.25">
      <c r="A185" s="1">
        <v>184</v>
      </c>
      <c r="B185" s="1">
        <v>14</v>
      </c>
      <c r="C185" s="1">
        <v>2</v>
      </c>
      <c r="D185" s="1">
        <v>4.3</v>
      </c>
      <c r="E185" s="1">
        <v>0.7</v>
      </c>
      <c r="F185" s="1">
        <v>62.8</v>
      </c>
      <c r="G185" s="1" t="s">
        <v>10</v>
      </c>
      <c r="H185" s="1">
        <v>31.4</v>
      </c>
      <c r="I185" s="1" t="s">
        <v>11</v>
      </c>
    </row>
    <row r="186" spans="1:9" x14ac:dyDescent="0.25">
      <c r="A186" s="1">
        <v>185</v>
      </c>
      <c r="B186" s="1">
        <v>14</v>
      </c>
      <c r="C186" s="1">
        <v>3.5</v>
      </c>
      <c r="D186" s="1">
        <v>3.5</v>
      </c>
      <c r="E186" s="1">
        <v>1.8</v>
      </c>
      <c r="F186" s="1">
        <v>76.900000000000006</v>
      </c>
      <c r="G186" s="1" t="s">
        <v>8</v>
      </c>
      <c r="H186" s="1">
        <v>22</v>
      </c>
      <c r="I186" s="1" t="s">
        <v>9</v>
      </c>
    </row>
    <row r="187" spans="1:9" x14ac:dyDescent="0.25">
      <c r="A187" s="1">
        <v>186</v>
      </c>
      <c r="B187" s="1">
        <v>16</v>
      </c>
      <c r="C187" s="1">
        <v>2.7</v>
      </c>
      <c r="D187" s="1">
        <v>4.0999999999999996</v>
      </c>
      <c r="E187" s="1">
        <v>1</v>
      </c>
      <c r="F187" s="1">
        <v>74.7</v>
      </c>
      <c r="G187" s="1" t="s">
        <v>8</v>
      </c>
      <c r="H187" s="1">
        <v>27.7</v>
      </c>
      <c r="I187" s="1" t="s">
        <v>11</v>
      </c>
    </row>
    <row r="188" spans="1:9" x14ac:dyDescent="0.25">
      <c r="A188" s="1">
        <v>187</v>
      </c>
      <c r="B188" s="1">
        <v>17</v>
      </c>
      <c r="C188" s="1">
        <v>1</v>
      </c>
      <c r="D188" s="1">
        <v>6</v>
      </c>
      <c r="E188" s="1">
        <v>1.7</v>
      </c>
      <c r="F188" s="1">
        <v>83.7</v>
      </c>
      <c r="G188" s="1" t="s">
        <v>8</v>
      </c>
      <c r="H188" s="1">
        <v>83.7</v>
      </c>
      <c r="I188" s="1" t="s">
        <v>11</v>
      </c>
    </row>
    <row r="189" spans="1:9" x14ac:dyDescent="0.25">
      <c r="A189" s="1">
        <v>188</v>
      </c>
      <c r="B189" s="1">
        <v>13</v>
      </c>
      <c r="C189" s="1">
        <v>2.9</v>
      </c>
      <c r="D189" s="1">
        <v>2</v>
      </c>
      <c r="E189" s="1">
        <v>1.4</v>
      </c>
      <c r="F189" s="1">
        <v>79.599999999999994</v>
      </c>
      <c r="G189" s="1" t="s">
        <v>8</v>
      </c>
      <c r="H189" s="1">
        <v>27.4</v>
      </c>
      <c r="I189" s="1" t="s">
        <v>13</v>
      </c>
    </row>
    <row r="190" spans="1:9" x14ac:dyDescent="0.25">
      <c r="A190" s="1">
        <v>189</v>
      </c>
      <c r="B190" s="1">
        <v>13</v>
      </c>
      <c r="C190" s="1">
        <v>3.6</v>
      </c>
      <c r="D190" s="1">
        <v>7.9</v>
      </c>
      <c r="E190" s="1">
        <v>1.5</v>
      </c>
      <c r="F190" s="1">
        <v>72.3</v>
      </c>
      <c r="G190" s="1" t="s">
        <v>8</v>
      </c>
      <c r="H190" s="1">
        <v>20.100000000000001</v>
      </c>
      <c r="I190" s="1" t="s">
        <v>11</v>
      </c>
    </row>
    <row r="191" spans="1:9" x14ac:dyDescent="0.25">
      <c r="A191" s="1">
        <v>190</v>
      </c>
      <c r="B191" s="1">
        <v>15</v>
      </c>
      <c r="C191" s="1">
        <v>3.4</v>
      </c>
      <c r="D191" s="1">
        <v>3.1</v>
      </c>
      <c r="E191" s="1">
        <v>1.9</v>
      </c>
      <c r="F191" s="1">
        <v>77.5</v>
      </c>
      <c r="G191" s="1" t="s">
        <v>8</v>
      </c>
      <c r="H191" s="1">
        <v>22.8</v>
      </c>
      <c r="I191" s="1" t="s">
        <v>9</v>
      </c>
    </row>
    <row r="192" spans="1:9" x14ac:dyDescent="0.25">
      <c r="A192" s="1">
        <v>191</v>
      </c>
      <c r="B192" s="1">
        <v>14</v>
      </c>
      <c r="C192" s="1">
        <v>1.9</v>
      </c>
      <c r="D192" s="1">
        <v>4.5999999999999996</v>
      </c>
      <c r="E192" s="1">
        <v>1.1000000000000001</v>
      </c>
      <c r="F192" s="1">
        <v>80.099999999999994</v>
      </c>
      <c r="G192" s="1" t="s">
        <v>8</v>
      </c>
      <c r="H192" s="1">
        <v>42.2</v>
      </c>
      <c r="I192" s="1" t="s">
        <v>11</v>
      </c>
    </row>
    <row r="193" spans="1:9" x14ac:dyDescent="0.25">
      <c r="A193" s="1">
        <v>192</v>
      </c>
      <c r="B193" s="1">
        <v>17</v>
      </c>
      <c r="C193" s="1">
        <v>1.2</v>
      </c>
      <c r="D193" s="1">
        <v>6.5</v>
      </c>
      <c r="E193" s="1">
        <v>2</v>
      </c>
      <c r="F193" s="1">
        <v>64.900000000000006</v>
      </c>
      <c r="G193" s="1" t="s">
        <v>10</v>
      </c>
      <c r="H193" s="1">
        <v>54.1</v>
      </c>
      <c r="I193" s="1" t="s">
        <v>11</v>
      </c>
    </row>
    <row r="194" spans="1:9" x14ac:dyDescent="0.25">
      <c r="A194" s="1">
        <v>193</v>
      </c>
      <c r="B194" s="1">
        <v>16</v>
      </c>
      <c r="C194" s="1">
        <v>2.2000000000000002</v>
      </c>
      <c r="D194" s="1">
        <v>6.2</v>
      </c>
      <c r="E194" s="1">
        <v>2.8</v>
      </c>
      <c r="F194" s="1">
        <v>66.7</v>
      </c>
      <c r="G194" s="1" t="s">
        <v>10</v>
      </c>
      <c r="H194" s="1">
        <v>30.3</v>
      </c>
      <c r="I194" s="1" t="s">
        <v>11</v>
      </c>
    </row>
    <row r="195" spans="1:9" x14ac:dyDescent="0.25">
      <c r="A195" s="1">
        <v>194</v>
      </c>
      <c r="B195" s="1">
        <v>14</v>
      </c>
      <c r="C195" s="1">
        <v>5.8</v>
      </c>
      <c r="D195" s="1">
        <v>7</v>
      </c>
      <c r="E195" s="1">
        <v>1.8</v>
      </c>
      <c r="F195" s="1">
        <v>69</v>
      </c>
      <c r="G195" s="1" t="s">
        <v>10</v>
      </c>
      <c r="H195" s="1">
        <v>11.9</v>
      </c>
      <c r="I195" s="1" t="s">
        <v>11</v>
      </c>
    </row>
    <row r="196" spans="1:9" x14ac:dyDescent="0.25">
      <c r="A196" s="1">
        <v>195</v>
      </c>
      <c r="B196" s="1">
        <v>16</v>
      </c>
      <c r="C196" s="1">
        <v>1</v>
      </c>
      <c r="D196" s="1">
        <v>1.7</v>
      </c>
      <c r="E196" s="1">
        <v>0.9</v>
      </c>
      <c r="F196" s="1">
        <v>65.2</v>
      </c>
      <c r="G196" s="1" t="s">
        <v>10</v>
      </c>
      <c r="H196" s="1">
        <v>65.2</v>
      </c>
      <c r="I196" s="1" t="s">
        <v>13</v>
      </c>
    </row>
    <row r="197" spans="1:9" x14ac:dyDescent="0.25">
      <c r="A197" s="1">
        <v>196</v>
      </c>
      <c r="B197" s="1">
        <v>15</v>
      </c>
      <c r="C197" s="1">
        <v>1.7</v>
      </c>
      <c r="D197" s="1">
        <v>2.2999999999999998</v>
      </c>
      <c r="E197" s="1">
        <v>1</v>
      </c>
      <c r="F197" s="1">
        <v>80.2</v>
      </c>
      <c r="G197" s="1" t="s">
        <v>8</v>
      </c>
      <c r="H197" s="1">
        <v>47.2</v>
      </c>
      <c r="I197" s="1" t="s">
        <v>9</v>
      </c>
    </row>
    <row r="198" spans="1:9" x14ac:dyDescent="0.25">
      <c r="A198" s="1">
        <v>197</v>
      </c>
      <c r="B198" s="1">
        <v>15</v>
      </c>
      <c r="C198" s="1">
        <v>2.9</v>
      </c>
      <c r="D198" s="1">
        <v>4.3</v>
      </c>
      <c r="E198" s="1">
        <v>1.3</v>
      </c>
      <c r="F198" s="1">
        <v>63.7</v>
      </c>
      <c r="G198" s="1" t="s">
        <v>10</v>
      </c>
      <c r="H198" s="1">
        <v>22</v>
      </c>
      <c r="I198" s="1" t="s">
        <v>11</v>
      </c>
    </row>
    <row r="199" spans="1:9" x14ac:dyDescent="0.25">
      <c r="A199" s="1">
        <v>198</v>
      </c>
      <c r="B199" s="1">
        <v>13</v>
      </c>
      <c r="C199" s="1">
        <v>2.4</v>
      </c>
      <c r="D199" s="1">
        <v>5.3</v>
      </c>
      <c r="E199" s="1">
        <v>1</v>
      </c>
      <c r="F199" s="1">
        <v>82.5</v>
      </c>
      <c r="G199" s="1" t="s">
        <v>8</v>
      </c>
      <c r="H199" s="1">
        <v>34.4</v>
      </c>
      <c r="I199" s="1" t="s">
        <v>11</v>
      </c>
    </row>
    <row r="200" spans="1:9" x14ac:dyDescent="0.25">
      <c r="A200" s="1">
        <v>199</v>
      </c>
      <c r="B200" s="1">
        <v>17</v>
      </c>
      <c r="C200" s="1">
        <v>2.2999999999999998</v>
      </c>
      <c r="D200" s="1">
        <v>4</v>
      </c>
      <c r="E200" s="1">
        <v>0.7</v>
      </c>
      <c r="F200" s="1">
        <v>66.3</v>
      </c>
      <c r="G200" s="1" t="s">
        <v>10</v>
      </c>
      <c r="H200" s="1">
        <v>28.8</v>
      </c>
      <c r="I200" s="1" t="s">
        <v>9</v>
      </c>
    </row>
    <row r="201" spans="1:9" x14ac:dyDescent="0.25">
      <c r="A201" s="1">
        <v>200</v>
      </c>
      <c r="B201" s="1">
        <v>16</v>
      </c>
      <c r="C201" s="1">
        <v>4.5</v>
      </c>
      <c r="D201" s="1">
        <v>1.5</v>
      </c>
      <c r="E201" s="1">
        <v>1.6</v>
      </c>
      <c r="F201" s="1">
        <v>74.7</v>
      </c>
      <c r="G201" s="1" t="s">
        <v>8</v>
      </c>
      <c r="H201" s="1">
        <v>16.600000000000001</v>
      </c>
      <c r="I201" s="1" t="s">
        <v>13</v>
      </c>
    </row>
  </sheetData>
  <conditionalFormatting sqref="K184">
    <cfRule type="containsText" dxfId="2" priority="4" operator="containsText" text="High">
      <formula>NOT(ISERROR(SEARCH("High",K184)))</formula>
    </cfRule>
  </conditionalFormatting>
  <conditionalFormatting sqref="I1">
    <cfRule type="containsText" dxfId="1" priority="2" operator="containsText" text="Low">
      <formula>NOT(ISERROR(SEARCH("Low",I1)))</formula>
    </cfRule>
  </conditionalFormatting>
  <conditionalFormatting sqref="I1:I201">
    <cfRule type="containsText" dxfId="0" priority="1" operator="containsText" text="Low">
      <formula>NOT(ISERROR(SEARCH("Low",I1)))</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5"/>
  <sheetViews>
    <sheetView topLeftCell="A16" workbookViewId="0">
      <selection activeCell="A36" sqref="A36"/>
    </sheetView>
  </sheetViews>
  <sheetFormatPr defaultRowHeight="15" x14ac:dyDescent="0.25"/>
  <cols>
    <col min="1" max="1" width="16.7109375" customWidth="1"/>
    <col min="2" max="2" width="22.5703125" customWidth="1"/>
    <col min="3" max="4" width="22.85546875" customWidth="1"/>
    <col min="5" max="6" width="5" customWidth="1"/>
    <col min="7" max="7" width="3" customWidth="1"/>
    <col min="8" max="8" width="5" customWidth="1"/>
    <col min="9" max="9" width="3" customWidth="1"/>
    <col min="10" max="28" width="5" customWidth="1"/>
    <col min="29" max="29" width="3" customWidth="1"/>
    <col min="30" max="33" width="5" customWidth="1"/>
    <col min="34" max="34" width="3" customWidth="1"/>
    <col min="35" max="43" width="5" customWidth="1"/>
    <col min="44" max="44" width="3" customWidth="1"/>
    <col min="45" max="55" width="5" customWidth="1"/>
    <col min="56" max="56" width="3" customWidth="1"/>
    <col min="57" max="61" width="5" customWidth="1"/>
    <col min="62" max="62" width="3" customWidth="1"/>
    <col min="63" max="86" width="5" customWidth="1"/>
    <col min="87" max="87" width="4" customWidth="1"/>
    <col min="88" max="91" width="5" customWidth="1"/>
    <col min="92" max="92" width="3" customWidth="1"/>
    <col min="93" max="103" width="5" customWidth="1"/>
    <col min="104" max="106" width="4" customWidth="1"/>
    <col min="107" max="107" width="5" customWidth="1"/>
    <col min="108" max="108" width="4" customWidth="1"/>
    <col min="109" max="111" width="5" customWidth="1"/>
    <col min="112" max="112" width="4" customWidth="1"/>
    <col min="113" max="114" width="5" customWidth="1"/>
    <col min="115" max="115" width="4" customWidth="1"/>
    <col min="116" max="152" width="5" customWidth="1"/>
    <col min="153" max="153" width="4" customWidth="1"/>
    <col min="154" max="155" width="5" customWidth="1"/>
    <col min="156" max="156" width="4" customWidth="1"/>
    <col min="157" max="183" width="5" customWidth="1"/>
    <col min="184" max="184" width="4" customWidth="1"/>
    <col min="185" max="195" width="5" customWidth="1"/>
    <col min="196" max="196" width="4" customWidth="1"/>
    <col min="197" max="202" width="5" customWidth="1"/>
    <col min="203" max="203" width="11.28515625" bestFit="1" customWidth="1"/>
  </cols>
  <sheetData>
    <row r="1" spans="1:4" x14ac:dyDescent="0.25">
      <c r="A1" s="2" t="s">
        <v>16</v>
      </c>
      <c r="B1" t="s">
        <v>18</v>
      </c>
      <c r="C1" t="s">
        <v>20</v>
      </c>
      <c r="D1" t="s">
        <v>19</v>
      </c>
    </row>
    <row r="2" spans="1:4" x14ac:dyDescent="0.25">
      <c r="A2" s="3" t="s">
        <v>10</v>
      </c>
      <c r="B2" s="4">
        <v>2.4921052631578946</v>
      </c>
      <c r="C2" s="4">
        <v>1.427631578947369</v>
      </c>
      <c r="D2" s="4">
        <v>3.9315789473684206</v>
      </c>
    </row>
    <row r="3" spans="1:4" x14ac:dyDescent="0.25">
      <c r="A3" s="3" t="s">
        <v>8</v>
      </c>
      <c r="B3" s="4">
        <v>2.5302083333333325</v>
      </c>
      <c r="C3" s="4">
        <v>1.575</v>
      </c>
      <c r="D3" s="4">
        <v>3.9260416666666682</v>
      </c>
    </row>
    <row r="4" spans="1:4" x14ac:dyDescent="0.25">
      <c r="A4" s="3" t="s">
        <v>12</v>
      </c>
      <c r="B4" s="4">
        <v>2.8200000000000003</v>
      </c>
      <c r="C4" s="4">
        <v>1.7400000000000002</v>
      </c>
      <c r="D4" s="4">
        <v>3.87</v>
      </c>
    </row>
    <row r="5" spans="1:4" x14ac:dyDescent="0.25">
      <c r="A5" s="3" t="s">
        <v>14</v>
      </c>
      <c r="B5" s="4">
        <v>2.7166666666666668</v>
      </c>
      <c r="C5" s="4">
        <v>1.7111111111111112</v>
      </c>
      <c r="D5" s="4">
        <v>4.8666666666666663</v>
      </c>
    </row>
    <row r="10" spans="1:4" x14ac:dyDescent="0.25">
      <c r="A10" s="2" t="s">
        <v>16</v>
      </c>
      <c r="B10" t="s">
        <v>21</v>
      </c>
    </row>
    <row r="11" spans="1:4" x14ac:dyDescent="0.25">
      <c r="A11" s="3" t="s">
        <v>15</v>
      </c>
      <c r="B11" s="4">
        <v>69.3</v>
      </c>
    </row>
    <row r="12" spans="1:4" x14ac:dyDescent="0.25">
      <c r="A12" s="3" t="s">
        <v>9</v>
      </c>
      <c r="B12" s="4">
        <v>69.043055555555554</v>
      </c>
    </row>
    <row r="13" spans="1:4" x14ac:dyDescent="0.25">
      <c r="A13" s="3" t="s">
        <v>13</v>
      </c>
      <c r="B13" s="4">
        <v>70.949999999999989</v>
      </c>
    </row>
    <row r="14" spans="1:4" x14ac:dyDescent="0.25">
      <c r="A14" s="3" t="s">
        <v>11</v>
      </c>
      <c r="B14" s="4">
        <v>72.200952380952401</v>
      </c>
    </row>
    <row r="16" spans="1:4" x14ac:dyDescent="0.25">
      <c r="A16" s="2" t="s">
        <v>1</v>
      </c>
      <c r="B16" t="s">
        <v>22</v>
      </c>
    </row>
    <row r="18" spans="1:3" x14ac:dyDescent="0.25">
      <c r="A18" s="2" t="s">
        <v>16</v>
      </c>
      <c r="B18" t="s">
        <v>20</v>
      </c>
    </row>
    <row r="19" spans="1:3" x14ac:dyDescent="0.25">
      <c r="A19" s="3" t="s">
        <v>10</v>
      </c>
      <c r="B19" s="4">
        <v>1.427631578947369</v>
      </c>
    </row>
    <row r="20" spans="1:3" x14ac:dyDescent="0.25">
      <c r="A20" s="3" t="s">
        <v>8</v>
      </c>
      <c r="B20" s="4">
        <v>1.575</v>
      </c>
    </row>
    <row r="21" spans="1:3" x14ac:dyDescent="0.25">
      <c r="A21" s="3" t="s">
        <v>12</v>
      </c>
      <c r="B21" s="4">
        <v>1.7400000000000002</v>
      </c>
    </row>
    <row r="22" spans="1:3" x14ac:dyDescent="0.25">
      <c r="A22" s="3" t="s">
        <v>14</v>
      </c>
      <c r="B22" s="4">
        <v>1.7111111111111112</v>
      </c>
    </row>
    <row r="23" spans="1:3" x14ac:dyDescent="0.25">
      <c r="A23" s="3" t="s">
        <v>17</v>
      </c>
      <c r="B23" s="4">
        <v>1.5395000000000008</v>
      </c>
    </row>
    <row r="27" spans="1:3" x14ac:dyDescent="0.25">
      <c r="A27" s="2" t="s">
        <v>16</v>
      </c>
      <c r="B27" t="s">
        <v>18</v>
      </c>
      <c r="C27" t="s">
        <v>19</v>
      </c>
    </row>
    <row r="28" spans="1:3" x14ac:dyDescent="0.25">
      <c r="A28" s="3" t="s">
        <v>10</v>
      </c>
      <c r="B28" s="4">
        <v>2.4921052631578946</v>
      </c>
      <c r="C28" s="4">
        <v>3.9315789473684206</v>
      </c>
    </row>
    <row r="29" spans="1:3" x14ac:dyDescent="0.25">
      <c r="A29" s="3" t="s">
        <v>8</v>
      </c>
      <c r="B29" s="4">
        <v>2.5302083333333325</v>
      </c>
      <c r="C29" s="4">
        <v>3.9260416666666682</v>
      </c>
    </row>
    <row r="30" spans="1:3" x14ac:dyDescent="0.25">
      <c r="A30" s="3" t="s">
        <v>12</v>
      </c>
      <c r="B30" s="4">
        <v>2.8200000000000003</v>
      </c>
      <c r="C30" s="4">
        <v>3.87</v>
      </c>
    </row>
    <row r="31" spans="1:3" x14ac:dyDescent="0.25">
      <c r="A31" s="3" t="s">
        <v>14</v>
      </c>
      <c r="B31" s="4">
        <v>2.7166666666666668</v>
      </c>
      <c r="C31" s="4">
        <v>4.8666666666666663</v>
      </c>
    </row>
    <row r="32" spans="1:3" x14ac:dyDescent="0.25">
      <c r="A32" s="3" t="s">
        <v>17</v>
      </c>
      <c r="B32" s="4">
        <v>2.5470000000000006</v>
      </c>
      <c r="C32" s="4">
        <v>4.01</v>
      </c>
    </row>
    <row r="35" spans="1:4" x14ac:dyDescent="0.25">
      <c r="A35" t="s">
        <v>18</v>
      </c>
      <c r="B35" t="s">
        <v>19</v>
      </c>
      <c r="C35" t="s">
        <v>21</v>
      </c>
    </row>
    <row r="36" spans="1:4" x14ac:dyDescent="0.25">
      <c r="A36" s="4">
        <v>2.5469999999999993</v>
      </c>
      <c r="B36" s="4">
        <v>4.0100000000000007</v>
      </c>
      <c r="C36" s="4">
        <v>70.911999999999992</v>
      </c>
      <c r="D36" s="5" t="s">
        <v>18</v>
      </c>
    </row>
    <row r="37" spans="1:4" x14ac:dyDescent="0.25">
      <c r="D37" s="4">
        <v>2.5469999999999993</v>
      </c>
    </row>
    <row r="38" spans="1:4" x14ac:dyDescent="0.25">
      <c r="B38" s="6"/>
      <c r="C38" s="7"/>
      <c r="D38" s="8"/>
    </row>
    <row r="39" spans="1:4" x14ac:dyDescent="0.25">
      <c r="B39" s="9"/>
      <c r="C39" s="10"/>
      <c r="D39" s="11"/>
    </row>
    <row r="40" spans="1:4" x14ac:dyDescent="0.25">
      <c r="B40" s="9"/>
      <c r="C40" s="10"/>
      <c r="D40" s="11"/>
    </row>
    <row r="41" spans="1:4" x14ac:dyDescent="0.25">
      <c r="B41" s="9"/>
      <c r="C41" s="10"/>
      <c r="D41" s="11"/>
    </row>
    <row r="42" spans="1:4" x14ac:dyDescent="0.25">
      <c r="B42" s="9"/>
      <c r="C42" s="10"/>
      <c r="D42" s="11"/>
    </row>
    <row r="43" spans="1:4" x14ac:dyDescent="0.25">
      <c r="B43" s="9"/>
      <c r="C43" s="10"/>
      <c r="D43" s="11"/>
    </row>
    <row r="44" spans="1:4" x14ac:dyDescent="0.25">
      <c r="B44" s="9"/>
      <c r="C44" s="10"/>
      <c r="D44" s="11"/>
    </row>
    <row r="45" spans="1:4" x14ac:dyDescent="0.25">
      <c r="B45" s="9"/>
      <c r="C45" s="10"/>
      <c r="D45" s="11"/>
    </row>
    <row r="46" spans="1:4" x14ac:dyDescent="0.25">
      <c r="B46" s="9"/>
      <c r="C46" s="10"/>
      <c r="D46" s="11"/>
    </row>
    <row r="47" spans="1:4" x14ac:dyDescent="0.25">
      <c r="B47" s="9"/>
      <c r="C47" s="10"/>
      <c r="D47" s="11"/>
    </row>
    <row r="48" spans="1:4" x14ac:dyDescent="0.25">
      <c r="B48" s="9"/>
      <c r="C48" s="10"/>
      <c r="D48" s="11"/>
    </row>
    <row r="49" spans="2:4" x14ac:dyDescent="0.25">
      <c r="B49" s="9"/>
      <c r="C49" s="10"/>
      <c r="D49" s="11"/>
    </row>
    <row r="50" spans="2:4" x14ac:dyDescent="0.25">
      <c r="B50" s="9"/>
      <c r="C50" s="10"/>
      <c r="D50" s="11"/>
    </row>
    <row r="51" spans="2:4" x14ac:dyDescent="0.25">
      <c r="B51" s="9"/>
      <c r="C51" s="10"/>
      <c r="D51" s="11"/>
    </row>
    <row r="52" spans="2:4" x14ac:dyDescent="0.25">
      <c r="B52" s="9"/>
      <c r="C52" s="10"/>
      <c r="D52" s="11"/>
    </row>
    <row r="53" spans="2:4" x14ac:dyDescent="0.25">
      <c r="B53" s="9"/>
      <c r="C53" s="10"/>
      <c r="D53" s="11"/>
    </row>
    <row r="54" spans="2:4" x14ac:dyDescent="0.25">
      <c r="B54" s="9"/>
      <c r="C54" s="10"/>
      <c r="D54" s="11"/>
    </row>
    <row r="55" spans="2:4" x14ac:dyDescent="0.25">
      <c r="B55" s="12"/>
      <c r="C55" s="13"/>
      <c r="D55" s="14"/>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X14:AF14"/>
  <sheetViews>
    <sheetView showGridLines="0" tabSelected="1" zoomScale="70" zoomScaleNormal="70" workbookViewId="0">
      <selection activeCell="AE28" sqref="AE28"/>
    </sheetView>
  </sheetViews>
  <sheetFormatPr defaultRowHeight="15" x14ac:dyDescent="0.25"/>
  <cols>
    <col min="26" max="26" width="2" customWidth="1"/>
    <col min="27" max="32" width="9.140625" hidden="1" customWidth="1"/>
  </cols>
  <sheetData>
    <row r="14" spans="24:24" x14ac:dyDescent="0.25">
      <c r="X14" s="15"/>
    </row>
  </sheetData>
  <pageMargins left="0.7" right="0.7" top="0.75" bottom="0.75" header="0.3" footer="0.3"/>
  <pageSetup paperSize="6" scale="110" fitToWidth="0" fitToHeight="0" pageOrder="overThenDown"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BE6ED53-1248-4B37-94C4-78356B6C80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student_screen_time_raw</vt:lpstr>
      <vt:lpstr>Modified data</vt:lpstr>
      <vt:lpstr>BRD</vt:lpstr>
      <vt:lpstr>Sheet2</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PARIBABU</dc:creator>
  <cp:lastModifiedBy>PARIBABU</cp:lastModifiedBy>
  <dcterms:created xsi:type="dcterms:W3CDTF">2026-03-17T08:45:29Z</dcterms:created>
  <dcterms:modified xsi:type="dcterms:W3CDTF">2026-03-17T13:34:41Z</dcterms:modified>
</cp:coreProperties>
</file>